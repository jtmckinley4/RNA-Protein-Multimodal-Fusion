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<sst xmlns="http://schemas.openxmlformats.org/spreadsheetml/2006/main" count="97" uniqueCount="70">
  <si>
    <t xml:space="preserve">Research Project Plan: Aligning and Fusing Frozen RNA and Protein Foundation Models</t>
  </si>
  <si>
    <t xml:space="preserve">Julian McKinley  |  MSDA Capstone, UCF  |  Advisor: Mina Basirat, PhD  |  Weekly through Dec 2026, monthly after</t>
  </si>
  <si>
    <t xml:space="preserve">How to use: edit Status, Start, End, Depends on, and Owner (columns C to H). Bars and milestone markers (◆ = start date equals end date) redraw automatically. Bar shading: dark = Done, amber = In progress, light gray = Planned. The current week is highlighted in the date header.</t>
  </si>
  <si>
    <t xml:space="preserve">Fall 2026 (weekly, week starting)</t>
  </si>
  <si>
    <t xml:space="preserve">2027 (monthly)</t>
  </si>
  <si>
    <t xml:space="preserve">ID</t>
  </si>
  <si>
    <t xml:space="preserve">Task</t>
  </si>
  <si>
    <t xml:space="preserve">Status</t>
  </si>
  <si>
    <t xml:space="preserve">Start</t>
  </si>
  <si>
    <t xml:space="preserve">End</t>
  </si>
  <si>
    <t xml:space="preserve">Days</t>
  </si>
  <si>
    <t xml:space="preserve">Depends on</t>
  </si>
  <si>
    <t xml:space="preserve">Owner</t>
  </si>
  <si>
    <t xml:space="preserve">Setup and Literature</t>
  </si>
  <si>
    <t xml:space="preserve">Lab onboarding and advisor meetings (Garibay lab, Mina)</t>
  </si>
  <si>
    <t xml:space="preserve">Done</t>
  </si>
  <si>
    <t xml:space="preserve">Literature review: 6 core papers and written reviews</t>
  </si>
  <si>
    <t xml:space="preserve">1</t>
  </si>
  <si>
    <t xml:space="preserve">Annotated bibliography and research canvas</t>
  </si>
  <si>
    <t xml:space="preserve">In progress</t>
  </si>
  <si>
    <t xml:space="preserve">2</t>
  </si>
  <si>
    <t xml:space="preserve">Capstone planning docs (Statement of Work, Requirements, Project Plan)</t>
  </si>
  <si>
    <t xml:space="preserve">Stage 1: Representation Analysis</t>
  </si>
  <si>
    <t xml:space="preserve">Data prep: CodonBERT datasets, frame and start-codon checks</t>
  </si>
  <si>
    <t xml:space="preserve">Pilot analysis (1,000 seqs): probes, CKA, CCA, retrieval, mRFP control</t>
  </si>
  <si>
    <t xml:space="preserve">5</t>
  </si>
  <si>
    <t xml:space="preserve">Progress meeting with Mina (1-2 slides)</t>
  </si>
  <si>
    <t xml:space="preserve">Planned</t>
  </si>
  <si>
    <t xml:space="preserve">6</t>
  </si>
  <si>
    <t xml:space="preserve">Scale Stage 1 to full ~41K mRNA Stability set and mRFP Expression labels</t>
  </si>
  <si>
    <t xml:space="preserve">Interpretability follow-ups (attention vs. motifs, species subgroup check)</t>
  </si>
  <si>
    <t xml:space="preserve">8</t>
  </si>
  <si>
    <t xml:space="preserve">Milestone: Stage 1 findings reviewed with Mina</t>
  </si>
  <si>
    <t xml:space="preserve">8, 9</t>
  </si>
  <si>
    <t xml:space="preserve">Stage 2: Fusion and Benchmarking</t>
  </si>
  <si>
    <t xml:space="preserve">Codon-level alignment module (resample RNA and protein embeddings)</t>
  </si>
  <si>
    <t xml:space="preserve">10</t>
  </si>
  <si>
    <t xml:space="preserve">Baselines: single-modality and concatenation models</t>
  </si>
  <si>
    <t xml:space="preserve">11</t>
  </si>
  <si>
    <t xml:space="preserve">Cross-attention fusion model</t>
  </si>
  <si>
    <t xml:space="preserve">Coupled Mamba fusion model</t>
  </si>
  <si>
    <t xml:space="preserve">Alignment-loss ablation (with vs. without explicit alignment)</t>
  </si>
  <si>
    <t xml:space="preserve">13, 14</t>
  </si>
  <si>
    <t xml:space="preserve">Benchmark and statistics (5-fold CV, R-squared, Spearman)</t>
  </si>
  <si>
    <t xml:space="preserve">12, 13, 14, 15</t>
  </si>
  <si>
    <t xml:space="preserve">Agentic AI component (capstone requirement)</t>
  </si>
  <si>
    <t xml:space="preserve">4</t>
  </si>
  <si>
    <t xml:space="preserve">Capstone Deliverables</t>
  </si>
  <si>
    <t xml:space="preserve">Weekly meetings with Mina and teammate</t>
  </si>
  <si>
    <t xml:space="preserve">Final report writing</t>
  </si>
  <si>
    <t xml:space="preserve">16</t>
  </si>
  <si>
    <t xml:space="preserve">Final presentation and GitHub documentation</t>
  </si>
  <si>
    <t xml:space="preserve">Milestone: Final capstone submission</t>
  </si>
  <si>
    <t xml:space="preserve">19, 20</t>
  </si>
  <si>
    <t xml:space="preserve">After Capstone: Toward Publication</t>
  </si>
  <si>
    <t xml:space="preserve">Extended experiments (full benchmark suite, more encoders)</t>
  </si>
  <si>
    <t xml:space="preserve">21</t>
  </si>
  <si>
    <t xml:space="preserve">Manuscript drafting with Mina</t>
  </si>
  <si>
    <t xml:space="preserve">22</t>
  </si>
  <si>
    <t xml:space="preserve">Milestone: Paper submission (target venue TBD with Mina)</t>
  </si>
  <si>
    <t xml:space="preserve">23</t>
  </si>
  <si>
    <t xml:space="preserve">Revisions and public code release</t>
  </si>
  <si>
    <t xml:space="preserve">24</t>
  </si>
  <si>
    <t xml:space="preserve">Assumptions behind this plan</t>
  </si>
  <si>
    <t xml:space="preserve">Semester end: final capstone deliverables assumed due the week of Dec 7, 2026 (Julian: early December).</t>
  </si>
  <si>
    <t xml:space="preserve">Work continues after the capstone toward publication (Julian); 2027 dates are targets to confirm with Mina.</t>
  </si>
  <si>
    <t xml:space="preserve">Stage 1 status reflects Code/Stage1.ipynb as of Sep 22, 2026 (1,000-sequence pilot complete).</t>
  </si>
  <si>
    <t xml:space="preserve">Agentic AI component: required by the capstone course; scope and dates to confirm with the course professor.</t>
  </si>
  <si>
    <t xml:space="preserve">Owner column is left blank for Julian to assign tasks between himself and Chase.</t>
  </si>
  <si>
    <t xml:space="preserve">Timeline headers: weekly columns show the Monday each week starts; monthly columns show the first of the month.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</si>
</sst>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"/>
    <numFmt numFmtId="166" formatCode="mmm\ yy"/>
    <numFmt numFmtId="167" formatCode="mm/dd/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EDEDE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595959"/>
        </patternFill>
      </fill>
    </dxf>
    <dxf>
      <fill>
        <patternFill>
          <bgColor rgb="FFE0A526"/>
        </patternFill>
      </fill>
    </dxf>
    <dxf>
      <fill>
        <patternFill>
          <bgColor rgb="FFBFBFBF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0A526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I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6"/>
    <col collapsed="false" customWidth="true" hidden="false" outlineLevel="0" max="8" min="7" style="0" width="11"/>
    <col collapsed="false" customWidth="true" hidden="false" outlineLevel="0" max="23" min="9" style="0" width="4.2"/>
    <col collapsed="false" customWidth="true" hidden="false" outlineLevel="0" max="28" min="24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I4" s="4" t="s">
        <v>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 t="s">
        <v>4</v>
      </c>
      <c r="Y4" s="4"/>
      <c r="Z4" s="4"/>
      <c r="AA4" s="4"/>
      <c r="AB4" s="4"/>
    </row>
    <row r="5" customFormat="false" ht="33.75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6" t="n">
        <v>46265</v>
      </c>
      <c r="J5" s="6" t="n">
        <v>46272</v>
      </c>
      <c r="K5" s="6" t="n">
        <v>46279</v>
      </c>
      <c r="L5" s="6" t="n">
        <v>46286</v>
      </c>
      <c r="M5" s="6" t="n">
        <v>46293</v>
      </c>
      <c r="N5" s="6" t="n">
        <v>46300</v>
      </c>
      <c r="O5" s="6" t="n">
        <v>46307</v>
      </c>
      <c r="P5" s="6" t="n">
        <v>46314</v>
      </c>
      <c r="Q5" s="6" t="n">
        <v>46321</v>
      </c>
      <c r="R5" s="6" t="n">
        <v>46328</v>
      </c>
      <c r="S5" s="6" t="n">
        <v>46335</v>
      </c>
      <c r="T5" s="6" t="n">
        <v>46342</v>
      </c>
      <c r="U5" s="6" t="n">
        <v>46349</v>
      </c>
      <c r="V5" s="6" t="n">
        <v>46356</v>
      </c>
      <c r="W5" s="6" t="n">
        <v>46363</v>
      </c>
      <c r="X5" s="7" t="n">
        <v>46388</v>
      </c>
      <c r="Y5" s="7" t="n">
        <v>46419</v>
      </c>
      <c r="Z5" s="7" t="n">
        <v>46447</v>
      </c>
      <c r="AA5" s="7" t="n">
        <v>46478</v>
      </c>
      <c r="AB5" s="7" t="n">
        <v>46508</v>
      </c>
    </row>
    <row r="6" customFormat="false" ht="15" hidden="false" customHeight="false" outlineLevel="0" collapsed="false">
      <c r="A6" s="8" t="s">
        <v>13</v>
      </c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customFormat="false" ht="15" hidden="false" customHeight="false" outlineLevel="0" collapsed="false">
      <c r="A7" s="10" t="n">
        <v>1</v>
      </c>
      <c r="B7" s="11" t="s">
        <v>14</v>
      </c>
      <c r="C7" s="10" t="s">
        <v>15</v>
      </c>
      <c r="D7" s="12" t="n">
        <v>46265</v>
      </c>
      <c r="E7" s="12" t="n">
        <v>46278</v>
      </c>
      <c r="F7" s="10" t="n">
        <f aca="false">E7-D7+1</f>
        <v>14</v>
      </c>
      <c r="G7" s="10"/>
      <c r="H7" s="10"/>
      <c r="I7" s="13" t="str">
        <f aca="false">IF(AND($D7&lt;&gt;"",$D7=$E7,$D7&gt;=I$5,$D7&lt;=I$5+6),"◆","")</f>
        <v/>
      </c>
      <c r="J7" s="13" t="str">
        <f aca="false">IF(AND($D7&lt;&gt;"",$D7=$E7,$D7&gt;=J$5,$D7&lt;=J$5+6),"◆","")</f>
        <v/>
      </c>
      <c r="K7" s="13" t="str">
        <f aca="false">IF(AND($D7&lt;&gt;"",$D7=$E7,$D7&gt;=K$5,$D7&lt;=K$5+6),"◆","")</f>
        <v/>
      </c>
      <c r="L7" s="13" t="str">
        <f aca="false">IF(AND($D7&lt;&gt;"",$D7=$E7,$D7&gt;=L$5,$D7&lt;=L$5+6),"◆","")</f>
        <v/>
      </c>
      <c r="M7" s="13" t="str">
        <f aca="false">IF(AND($D7&lt;&gt;"",$D7=$E7,$D7&gt;=M$5,$D7&lt;=M$5+6),"◆","")</f>
        <v/>
      </c>
      <c r="N7" s="13" t="str">
        <f aca="false">IF(AND($D7&lt;&gt;"",$D7=$E7,$D7&gt;=N$5,$D7&lt;=N$5+6),"◆","")</f>
        <v/>
      </c>
      <c r="O7" s="13" t="str">
        <f aca="false">IF(AND($D7&lt;&gt;"",$D7=$E7,$D7&gt;=O$5,$D7&lt;=O$5+6),"◆","")</f>
        <v/>
      </c>
      <c r="P7" s="13" t="str">
        <f aca="false">IF(AND($D7&lt;&gt;"",$D7=$E7,$D7&gt;=P$5,$D7&lt;=P$5+6),"◆","")</f>
        <v/>
      </c>
      <c r="Q7" s="13" t="str">
        <f aca="false">IF(AND($D7&lt;&gt;"",$D7=$E7,$D7&gt;=Q$5,$D7&lt;=Q$5+6),"◆","")</f>
        <v/>
      </c>
      <c r="R7" s="13" t="str">
        <f aca="false">IF(AND($D7&lt;&gt;"",$D7=$E7,$D7&gt;=R$5,$D7&lt;=R$5+6),"◆","")</f>
        <v/>
      </c>
      <c r="S7" s="13" t="str">
        <f aca="false">IF(AND($D7&lt;&gt;"",$D7=$E7,$D7&gt;=S$5,$D7&lt;=S$5+6),"◆","")</f>
        <v/>
      </c>
      <c r="T7" s="13" t="str">
        <f aca="false">IF(AND($D7&lt;&gt;"",$D7=$E7,$D7&gt;=T$5,$D7&lt;=T$5+6),"◆","")</f>
        <v/>
      </c>
      <c r="U7" s="13" t="str">
        <f aca="false">IF(AND($D7&lt;&gt;"",$D7=$E7,$D7&gt;=U$5,$D7&lt;=U$5+6),"◆","")</f>
        <v/>
      </c>
      <c r="V7" s="13" t="str">
        <f aca="false">IF(AND($D7&lt;&gt;"",$D7=$E7,$D7&gt;=V$5,$D7&lt;=V$5+6),"◆","")</f>
        <v/>
      </c>
      <c r="W7" s="13" t="str">
        <f aca="false">IF(AND($D7&lt;&gt;"",$D7=$E7,$D7&gt;=W$5,$D7&lt;=W$5+6),"◆","")</f>
        <v/>
      </c>
      <c r="X7" s="13" t="str">
        <f aca="false">IF(AND($D7&lt;&gt;"",$D7=$E7,$D7&gt;=X$5,$D7&lt;=EOMONTH(X$5,0)),"◆","")</f>
        <v/>
      </c>
      <c r="Y7" s="13" t="str">
        <f aca="false">IF(AND($D7&lt;&gt;"",$D7=$E7,$D7&gt;=Y$5,$D7&lt;=EOMONTH(Y$5,0)),"◆","")</f>
        <v/>
      </c>
      <c r="Z7" s="13" t="str">
        <f aca="false">IF(AND($D7&lt;&gt;"",$D7=$E7,$D7&gt;=Z$5,$D7&lt;=EOMONTH(Z$5,0)),"◆","")</f>
        <v/>
      </c>
      <c r="AA7" s="13" t="str">
        <f aca="false">IF(AND($D7&lt;&gt;"",$D7=$E7,$D7&gt;=AA$5,$D7&lt;=EOMONTH(AA$5,0)),"◆","")</f>
        <v/>
      </c>
      <c r="AB7" s="13" t="str">
        <f aca="false">IF(AND($D7&lt;&gt;"",$D7=$E7,$D7&gt;=AB$5,$D7&lt;=EOMONTH(AB$5,0)),"◆","")</f>
        <v/>
      </c>
    </row>
    <row r="8" customFormat="false" ht="15" hidden="false" customHeight="false" outlineLevel="0" collapsed="false">
      <c r="A8" s="10" t="n">
        <v>2</v>
      </c>
      <c r="B8" s="11" t="s">
        <v>16</v>
      </c>
      <c r="C8" s="10" t="s">
        <v>15</v>
      </c>
      <c r="D8" s="12" t="n">
        <v>46272</v>
      </c>
      <c r="E8" s="12" t="n">
        <v>46285</v>
      </c>
      <c r="F8" s="10" t="n">
        <f aca="false">E8-D8+1</f>
        <v>14</v>
      </c>
      <c r="G8" s="10" t="s">
        <v>17</v>
      </c>
      <c r="H8" s="10"/>
      <c r="I8" s="13" t="str">
        <f aca="false">IF(AND($D8&lt;&gt;"",$D8=$E8,$D8&gt;=I$5,$D8&lt;=I$5+6),"◆","")</f>
        <v/>
      </c>
      <c r="J8" s="13" t="str">
        <f aca="false">IF(AND($D8&lt;&gt;"",$D8=$E8,$D8&gt;=J$5,$D8&lt;=J$5+6),"◆","")</f>
        <v/>
      </c>
      <c r="K8" s="13" t="str">
        <f aca="false">IF(AND($D8&lt;&gt;"",$D8=$E8,$D8&gt;=K$5,$D8&lt;=K$5+6),"◆","")</f>
        <v/>
      </c>
      <c r="L8" s="13" t="str">
        <f aca="false">IF(AND($D8&lt;&gt;"",$D8=$E8,$D8&gt;=L$5,$D8&lt;=L$5+6),"◆","")</f>
        <v/>
      </c>
      <c r="M8" s="13" t="str">
        <f aca="false">IF(AND($D8&lt;&gt;"",$D8=$E8,$D8&gt;=M$5,$D8&lt;=M$5+6),"◆","")</f>
        <v/>
      </c>
      <c r="N8" s="13" t="str">
        <f aca="false">IF(AND($D8&lt;&gt;"",$D8=$E8,$D8&gt;=N$5,$D8&lt;=N$5+6),"◆","")</f>
        <v/>
      </c>
      <c r="O8" s="13" t="str">
        <f aca="false">IF(AND($D8&lt;&gt;"",$D8=$E8,$D8&gt;=O$5,$D8&lt;=O$5+6),"◆","")</f>
        <v/>
      </c>
      <c r="P8" s="13" t="str">
        <f aca="false">IF(AND($D8&lt;&gt;"",$D8=$E8,$D8&gt;=P$5,$D8&lt;=P$5+6),"◆","")</f>
        <v/>
      </c>
      <c r="Q8" s="13" t="str">
        <f aca="false">IF(AND($D8&lt;&gt;"",$D8=$E8,$D8&gt;=Q$5,$D8&lt;=Q$5+6),"◆","")</f>
        <v/>
      </c>
      <c r="R8" s="13" t="str">
        <f aca="false">IF(AND($D8&lt;&gt;"",$D8=$E8,$D8&gt;=R$5,$D8&lt;=R$5+6),"◆","")</f>
        <v/>
      </c>
      <c r="S8" s="13" t="str">
        <f aca="false">IF(AND($D8&lt;&gt;"",$D8=$E8,$D8&gt;=S$5,$D8&lt;=S$5+6),"◆","")</f>
        <v/>
      </c>
      <c r="T8" s="13" t="str">
        <f aca="false">IF(AND($D8&lt;&gt;"",$D8=$E8,$D8&gt;=T$5,$D8&lt;=T$5+6),"◆","")</f>
        <v/>
      </c>
      <c r="U8" s="13" t="str">
        <f aca="false">IF(AND($D8&lt;&gt;"",$D8=$E8,$D8&gt;=U$5,$D8&lt;=U$5+6),"◆","")</f>
        <v/>
      </c>
      <c r="V8" s="13" t="str">
        <f aca="false">IF(AND($D8&lt;&gt;"",$D8=$E8,$D8&gt;=V$5,$D8&lt;=V$5+6),"◆","")</f>
        <v/>
      </c>
      <c r="W8" s="13" t="str">
        <f aca="false">IF(AND($D8&lt;&gt;"",$D8=$E8,$D8&gt;=W$5,$D8&lt;=W$5+6),"◆","")</f>
        <v/>
      </c>
      <c r="X8" s="13" t="str">
        <f aca="false">IF(AND($D8&lt;&gt;"",$D8=$E8,$D8&gt;=X$5,$D8&lt;=EOMONTH(X$5,0)),"◆","")</f>
        <v/>
      </c>
      <c r="Y8" s="13" t="str">
        <f aca="false">IF(AND($D8&lt;&gt;"",$D8=$E8,$D8&gt;=Y$5,$D8&lt;=EOMONTH(Y$5,0)),"◆","")</f>
        <v/>
      </c>
      <c r="Z8" s="13" t="str">
        <f aca="false">IF(AND($D8&lt;&gt;"",$D8=$E8,$D8&gt;=Z$5,$D8&lt;=EOMONTH(Z$5,0)),"◆","")</f>
        <v/>
      </c>
      <c r="AA8" s="13" t="str">
        <f aca="false">IF(AND($D8&lt;&gt;"",$D8=$E8,$D8&gt;=AA$5,$D8&lt;=EOMONTH(AA$5,0)),"◆","")</f>
        <v/>
      </c>
      <c r="AB8" s="13" t="str">
        <f aca="false">IF(AND($D8&lt;&gt;"",$D8=$E8,$D8&gt;=AB$5,$D8&lt;=EOMONTH(AB$5,0)),"◆","")</f>
        <v/>
      </c>
    </row>
    <row r="9" customFormat="false" ht="15" hidden="false" customHeight="false" outlineLevel="0" collapsed="false">
      <c r="A9" s="10" t="n">
        <v>3</v>
      </c>
      <c r="B9" s="11" t="s">
        <v>18</v>
      </c>
      <c r="C9" s="10" t="s">
        <v>19</v>
      </c>
      <c r="D9" s="12" t="n">
        <v>46286</v>
      </c>
      <c r="E9" s="12" t="n">
        <v>46292</v>
      </c>
      <c r="F9" s="10" t="n">
        <f aca="false">E9-D9+1</f>
        <v>7</v>
      </c>
      <c r="G9" s="10" t="s">
        <v>20</v>
      </c>
      <c r="H9" s="10"/>
      <c r="I9" s="13" t="str">
        <f aca="false">IF(AND($D9&lt;&gt;"",$D9=$E9,$D9&gt;=I$5,$D9&lt;=I$5+6),"◆","")</f>
        <v/>
      </c>
      <c r="J9" s="13" t="str">
        <f aca="false">IF(AND($D9&lt;&gt;"",$D9=$E9,$D9&gt;=J$5,$D9&lt;=J$5+6),"◆","")</f>
        <v/>
      </c>
      <c r="K9" s="13" t="str">
        <f aca="false">IF(AND($D9&lt;&gt;"",$D9=$E9,$D9&gt;=K$5,$D9&lt;=K$5+6),"◆","")</f>
        <v/>
      </c>
      <c r="L9" s="13" t="str">
        <f aca="false">IF(AND($D9&lt;&gt;"",$D9=$E9,$D9&gt;=L$5,$D9&lt;=L$5+6),"◆","")</f>
        <v/>
      </c>
      <c r="M9" s="13" t="str">
        <f aca="false">IF(AND($D9&lt;&gt;"",$D9=$E9,$D9&gt;=M$5,$D9&lt;=M$5+6),"◆","")</f>
        <v/>
      </c>
      <c r="N9" s="13" t="str">
        <f aca="false">IF(AND($D9&lt;&gt;"",$D9=$E9,$D9&gt;=N$5,$D9&lt;=N$5+6),"◆","")</f>
        <v/>
      </c>
      <c r="O9" s="13" t="str">
        <f aca="false">IF(AND($D9&lt;&gt;"",$D9=$E9,$D9&gt;=O$5,$D9&lt;=O$5+6),"◆","")</f>
        <v/>
      </c>
      <c r="P9" s="13" t="str">
        <f aca="false">IF(AND($D9&lt;&gt;"",$D9=$E9,$D9&gt;=P$5,$D9&lt;=P$5+6),"◆","")</f>
        <v/>
      </c>
      <c r="Q9" s="13" t="str">
        <f aca="false">IF(AND($D9&lt;&gt;"",$D9=$E9,$D9&gt;=Q$5,$D9&lt;=Q$5+6),"◆","")</f>
        <v/>
      </c>
      <c r="R9" s="13" t="str">
        <f aca="false">IF(AND($D9&lt;&gt;"",$D9=$E9,$D9&gt;=R$5,$D9&lt;=R$5+6),"◆","")</f>
        <v/>
      </c>
      <c r="S9" s="13" t="str">
        <f aca="false">IF(AND($D9&lt;&gt;"",$D9=$E9,$D9&gt;=S$5,$D9&lt;=S$5+6),"◆","")</f>
        <v/>
      </c>
      <c r="T9" s="13" t="str">
        <f aca="false">IF(AND($D9&lt;&gt;"",$D9=$E9,$D9&gt;=T$5,$D9&lt;=T$5+6),"◆","")</f>
        <v/>
      </c>
      <c r="U9" s="13" t="str">
        <f aca="false">IF(AND($D9&lt;&gt;"",$D9=$E9,$D9&gt;=U$5,$D9&lt;=U$5+6),"◆","")</f>
        <v/>
      </c>
      <c r="V9" s="13" t="str">
        <f aca="false">IF(AND($D9&lt;&gt;"",$D9=$E9,$D9&gt;=V$5,$D9&lt;=V$5+6),"◆","")</f>
        <v/>
      </c>
      <c r="W9" s="13" t="str">
        <f aca="false">IF(AND($D9&lt;&gt;"",$D9=$E9,$D9&gt;=W$5,$D9&lt;=W$5+6),"◆","")</f>
        <v/>
      </c>
      <c r="X9" s="13" t="str">
        <f aca="false">IF(AND($D9&lt;&gt;"",$D9=$E9,$D9&gt;=X$5,$D9&lt;=EOMONTH(X$5,0)),"◆","")</f>
        <v/>
      </c>
      <c r="Y9" s="13" t="str">
        <f aca="false">IF(AND($D9&lt;&gt;"",$D9=$E9,$D9&gt;=Y$5,$D9&lt;=EOMONTH(Y$5,0)),"◆","")</f>
        <v/>
      </c>
      <c r="Z9" s="13" t="str">
        <f aca="false">IF(AND($D9&lt;&gt;"",$D9=$E9,$D9&gt;=Z$5,$D9&lt;=EOMONTH(Z$5,0)),"◆","")</f>
        <v/>
      </c>
      <c r="AA9" s="13" t="str">
        <f aca="false">IF(AND($D9&lt;&gt;"",$D9=$E9,$D9&gt;=AA$5,$D9&lt;=EOMONTH(AA$5,0)),"◆","")</f>
        <v/>
      </c>
      <c r="AB9" s="13" t="str">
        <f aca="false">IF(AND($D9&lt;&gt;"",$D9=$E9,$D9&gt;=AB$5,$D9&lt;=EOMONTH(AB$5,0)),"◆","")</f>
        <v/>
      </c>
    </row>
    <row r="10" customFormat="false" ht="15" hidden="false" customHeight="false" outlineLevel="0" collapsed="false">
      <c r="A10" s="10" t="n">
        <v>4</v>
      </c>
      <c r="B10" s="11" t="s">
        <v>21</v>
      </c>
      <c r="C10" s="10" t="s">
        <v>19</v>
      </c>
      <c r="D10" s="12" t="n">
        <v>46286</v>
      </c>
      <c r="E10" s="12" t="n">
        <v>46299</v>
      </c>
      <c r="F10" s="10" t="n">
        <f aca="false">E10-D10+1</f>
        <v>14</v>
      </c>
      <c r="G10" s="10" t="s">
        <v>20</v>
      </c>
      <c r="H10" s="10"/>
      <c r="I10" s="13" t="str">
        <f aca="false">IF(AND($D10&lt;&gt;"",$D10=$E10,$D10&gt;=I$5,$D10&lt;=I$5+6),"◆","")</f>
        <v/>
      </c>
      <c r="J10" s="13" t="str">
        <f aca="false">IF(AND($D10&lt;&gt;"",$D10=$E10,$D10&gt;=J$5,$D10&lt;=J$5+6),"◆","")</f>
        <v/>
      </c>
      <c r="K10" s="13" t="str">
        <f aca="false">IF(AND($D10&lt;&gt;"",$D10=$E10,$D10&gt;=K$5,$D10&lt;=K$5+6),"◆","")</f>
        <v/>
      </c>
      <c r="L10" s="13" t="str">
        <f aca="false">IF(AND($D10&lt;&gt;"",$D10=$E10,$D10&gt;=L$5,$D10&lt;=L$5+6),"◆","")</f>
        <v/>
      </c>
      <c r="M10" s="13" t="str">
        <f aca="false">IF(AND($D10&lt;&gt;"",$D10=$E10,$D10&gt;=M$5,$D10&lt;=M$5+6),"◆","")</f>
        <v/>
      </c>
      <c r="N10" s="13" t="str">
        <f aca="false">IF(AND($D10&lt;&gt;"",$D10=$E10,$D10&gt;=N$5,$D10&lt;=N$5+6),"◆","")</f>
        <v/>
      </c>
      <c r="O10" s="13" t="str">
        <f aca="false">IF(AND($D10&lt;&gt;"",$D10=$E10,$D10&gt;=O$5,$D10&lt;=O$5+6),"◆","")</f>
        <v/>
      </c>
      <c r="P10" s="13" t="str">
        <f aca="false">IF(AND($D10&lt;&gt;"",$D10=$E10,$D10&gt;=P$5,$D10&lt;=P$5+6),"◆","")</f>
        <v/>
      </c>
      <c r="Q10" s="13" t="str">
        <f aca="false">IF(AND($D10&lt;&gt;"",$D10=$E10,$D10&gt;=Q$5,$D10&lt;=Q$5+6),"◆","")</f>
        <v/>
      </c>
      <c r="R10" s="13" t="str">
        <f aca="false">IF(AND($D10&lt;&gt;"",$D10=$E10,$D10&gt;=R$5,$D10&lt;=R$5+6),"◆","")</f>
        <v/>
      </c>
      <c r="S10" s="13" t="str">
        <f aca="false">IF(AND($D10&lt;&gt;"",$D10=$E10,$D10&gt;=S$5,$D10&lt;=S$5+6),"◆","")</f>
        <v/>
      </c>
      <c r="T10" s="13" t="str">
        <f aca="false">IF(AND($D10&lt;&gt;"",$D10=$E10,$D10&gt;=T$5,$D10&lt;=T$5+6),"◆","")</f>
        <v/>
      </c>
      <c r="U10" s="13" t="str">
        <f aca="false">IF(AND($D10&lt;&gt;"",$D10=$E10,$D10&gt;=U$5,$D10&lt;=U$5+6),"◆","")</f>
        <v/>
      </c>
      <c r="V10" s="13" t="str">
        <f aca="false">IF(AND($D10&lt;&gt;"",$D10=$E10,$D10&gt;=V$5,$D10&lt;=V$5+6),"◆","")</f>
        <v/>
      </c>
      <c r="W10" s="13" t="str">
        <f aca="false">IF(AND($D10&lt;&gt;"",$D10=$E10,$D10&gt;=W$5,$D10&lt;=W$5+6),"◆","")</f>
        <v/>
      </c>
      <c r="X10" s="13" t="str">
        <f aca="false">IF(AND($D10&lt;&gt;"",$D10=$E10,$D10&gt;=X$5,$D10&lt;=EOMONTH(X$5,0)),"◆","")</f>
        <v/>
      </c>
      <c r="Y10" s="13" t="str">
        <f aca="false">IF(AND($D10&lt;&gt;"",$D10=$E10,$D10&gt;=Y$5,$D10&lt;=EOMONTH(Y$5,0)),"◆","")</f>
        <v/>
      </c>
      <c r="Z10" s="13" t="str">
        <f aca="false">IF(AND($D10&lt;&gt;"",$D10=$E10,$D10&gt;=Z$5,$D10&lt;=EOMONTH(Z$5,0)),"◆","")</f>
        <v/>
      </c>
      <c r="AA10" s="13" t="str">
        <f aca="false">IF(AND($D10&lt;&gt;"",$D10=$E10,$D10&gt;=AA$5,$D10&lt;=EOMONTH(AA$5,0)),"◆","")</f>
        <v/>
      </c>
      <c r="AB10" s="13" t="str">
        <f aca="false">IF(AND($D10&lt;&gt;"",$D10=$E10,$D10&gt;=AB$5,$D10&lt;=EOMONTH(AB$5,0)),"◆","")</f>
        <v/>
      </c>
    </row>
    <row r="11" customFormat="false" ht="15" hidden="false" customHeight="false" outlineLevel="0" collapsed="false">
      <c r="A11" s="8" t="s">
        <v>22</v>
      </c>
      <c r="B11" s="8"/>
      <c r="C11" s="8"/>
      <c r="D11" s="8"/>
      <c r="E11" s="8"/>
      <c r="F11" s="8"/>
      <c r="G11" s="8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customFormat="false" ht="15" hidden="false" customHeight="false" outlineLevel="0" collapsed="false">
      <c r="A12" s="10" t="n">
        <v>5</v>
      </c>
      <c r="B12" s="11" t="s">
        <v>23</v>
      </c>
      <c r="C12" s="10" t="s">
        <v>15</v>
      </c>
      <c r="D12" s="12" t="n">
        <v>46279</v>
      </c>
      <c r="E12" s="12" t="n">
        <v>46285</v>
      </c>
      <c r="F12" s="10" t="n">
        <f aca="false">E12-D12+1</f>
        <v>7</v>
      </c>
      <c r="G12" s="10"/>
      <c r="H12" s="10"/>
      <c r="I12" s="13" t="str">
        <f aca="false">IF(AND($D12&lt;&gt;"",$D12=$E12,$D12&gt;=I$5,$D12&lt;=I$5+6),"◆","")</f>
        <v/>
      </c>
      <c r="J12" s="13" t="str">
        <f aca="false">IF(AND($D12&lt;&gt;"",$D12=$E12,$D12&gt;=J$5,$D12&lt;=J$5+6),"◆","")</f>
        <v/>
      </c>
      <c r="K12" s="13" t="str">
        <f aca="false">IF(AND($D12&lt;&gt;"",$D12=$E12,$D12&gt;=K$5,$D12&lt;=K$5+6),"◆","")</f>
        <v/>
      </c>
      <c r="L12" s="13" t="str">
        <f aca="false">IF(AND($D12&lt;&gt;"",$D12=$E12,$D12&gt;=L$5,$D12&lt;=L$5+6),"◆","")</f>
        <v/>
      </c>
      <c r="M12" s="13" t="str">
        <f aca="false">IF(AND($D12&lt;&gt;"",$D12=$E12,$D12&gt;=M$5,$D12&lt;=M$5+6),"◆","")</f>
        <v/>
      </c>
      <c r="N12" s="13" t="str">
        <f aca="false">IF(AND($D12&lt;&gt;"",$D12=$E12,$D12&gt;=N$5,$D12&lt;=N$5+6),"◆","")</f>
        <v/>
      </c>
      <c r="O12" s="13" t="str">
        <f aca="false">IF(AND($D12&lt;&gt;"",$D12=$E12,$D12&gt;=O$5,$D12&lt;=O$5+6),"◆","")</f>
        <v/>
      </c>
      <c r="P12" s="13" t="str">
        <f aca="false">IF(AND($D12&lt;&gt;"",$D12=$E12,$D12&gt;=P$5,$D12&lt;=P$5+6),"◆","")</f>
        <v/>
      </c>
      <c r="Q12" s="13" t="str">
        <f aca="false">IF(AND($D12&lt;&gt;"",$D12=$E12,$D12&gt;=Q$5,$D12&lt;=Q$5+6),"◆","")</f>
        <v/>
      </c>
      <c r="R12" s="13" t="str">
        <f aca="false">IF(AND($D12&lt;&gt;"",$D12=$E12,$D12&gt;=R$5,$D12&lt;=R$5+6),"◆","")</f>
        <v/>
      </c>
      <c r="S12" s="13" t="str">
        <f aca="false">IF(AND($D12&lt;&gt;"",$D12=$E12,$D12&gt;=S$5,$D12&lt;=S$5+6),"◆","")</f>
        <v/>
      </c>
      <c r="T12" s="13" t="str">
        <f aca="false">IF(AND($D12&lt;&gt;"",$D12=$E12,$D12&gt;=T$5,$D12&lt;=T$5+6),"◆","")</f>
        <v/>
      </c>
      <c r="U12" s="13" t="str">
        <f aca="false">IF(AND($D12&lt;&gt;"",$D12=$E12,$D12&gt;=U$5,$D12&lt;=U$5+6),"◆","")</f>
        <v/>
      </c>
      <c r="V12" s="13" t="str">
        <f aca="false">IF(AND($D12&lt;&gt;"",$D12=$E12,$D12&gt;=V$5,$D12&lt;=V$5+6),"◆","")</f>
        <v/>
      </c>
      <c r="W12" s="13" t="str">
        <f aca="false">IF(AND($D12&lt;&gt;"",$D12=$E12,$D12&gt;=W$5,$D12&lt;=W$5+6),"◆","")</f>
        <v/>
      </c>
      <c r="X12" s="13" t="str">
        <f aca="false">IF(AND($D12&lt;&gt;"",$D12=$E12,$D12&gt;=X$5,$D12&lt;=EOMONTH(X$5,0)),"◆","")</f>
        <v/>
      </c>
      <c r="Y12" s="13" t="str">
        <f aca="false">IF(AND($D12&lt;&gt;"",$D12=$E12,$D12&gt;=Y$5,$D12&lt;=EOMONTH(Y$5,0)),"◆","")</f>
        <v/>
      </c>
      <c r="Z12" s="13" t="str">
        <f aca="false">IF(AND($D12&lt;&gt;"",$D12=$E12,$D12&gt;=Z$5,$D12&lt;=EOMONTH(Z$5,0)),"◆","")</f>
        <v/>
      </c>
      <c r="AA12" s="13" t="str">
        <f aca="false">IF(AND($D12&lt;&gt;"",$D12=$E12,$D12&gt;=AA$5,$D12&lt;=EOMONTH(AA$5,0)),"◆","")</f>
        <v/>
      </c>
      <c r="AB12" s="13" t="str">
        <f aca="false">IF(AND($D12&lt;&gt;"",$D12=$E12,$D12&gt;=AB$5,$D12&lt;=EOMONTH(AB$5,0)),"◆","")</f>
        <v/>
      </c>
    </row>
    <row r="13" customFormat="false" ht="15" hidden="false" customHeight="false" outlineLevel="0" collapsed="false">
      <c r="A13" s="10" t="n">
        <v>6</v>
      </c>
      <c r="B13" s="11" t="s">
        <v>24</v>
      </c>
      <c r="C13" s="10" t="s">
        <v>19</v>
      </c>
      <c r="D13" s="12" t="n">
        <v>46279</v>
      </c>
      <c r="E13" s="12" t="n">
        <v>46292</v>
      </c>
      <c r="F13" s="10" t="n">
        <f aca="false">E13-D13+1</f>
        <v>14</v>
      </c>
      <c r="G13" s="10" t="s">
        <v>25</v>
      </c>
      <c r="H13" s="10"/>
      <c r="I13" s="13" t="str">
        <f aca="false">IF(AND($D13&lt;&gt;"",$D13=$E13,$D13&gt;=I$5,$D13&lt;=I$5+6),"◆","")</f>
        <v/>
      </c>
      <c r="J13" s="13" t="str">
        <f aca="false">IF(AND($D13&lt;&gt;"",$D13=$E13,$D13&gt;=J$5,$D13&lt;=J$5+6),"◆","")</f>
        <v/>
      </c>
      <c r="K13" s="13" t="str">
        <f aca="false">IF(AND($D13&lt;&gt;"",$D13=$E13,$D13&gt;=K$5,$D13&lt;=K$5+6),"◆","")</f>
        <v/>
      </c>
      <c r="L13" s="13" t="str">
        <f aca="false">IF(AND($D13&lt;&gt;"",$D13=$E13,$D13&gt;=L$5,$D13&lt;=L$5+6),"◆","")</f>
        <v/>
      </c>
      <c r="M13" s="13" t="str">
        <f aca="false">IF(AND($D13&lt;&gt;"",$D13=$E13,$D13&gt;=M$5,$D13&lt;=M$5+6),"◆","")</f>
        <v/>
      </c>
      <c r="N13" s="13" t="str">
        <f aca="false">IF(AND($D13&lt;&gt;"",$D13=$E13,$D13&gt;=N$5,$D13&lt;=N$5+6),"◆","")</f>
        <v/>
      </c>
      <c r="O13" s="13" t="str">
        <f aca="false">IF(AND($D13&lt;&gt;"",$D13=$E13,$D13&gt;=O$5,$D13&lt;=O$5+6),"◆","")</f>
        <v/>
      </c>
      <c r="P13" s="13" t="str">
        <f aca="false">IF(AND($D13&lt;&gt;"",$D13=$E13,$D13&gt;=P$5,$D13&lt;=P$5+6),"◆","")</f>
        <v/>
      </c>
      <c r="Q13" s="13" t="str">
        <f aca="false">IF(AND($D13&lt;&gt;"",$D13=$E13,$D13&gt;=Q$5,$D13&lt;=Q$5+6),"◆","")</f>
        <v/>
      </c>
      <c r="R13" s="13" t="str">
        <f aca="false">IF(AND($D13&lt;&gt;"",$D13=$E13,$D13&gt;=R$5,$D13&lt;=R$5+6),"◆","")</f>
        <v/>
      </c>
      <c r="S13" s="13" t="str">
        <f aca="false">IF(AND($D13&lt;&gt;"",$D13=$E13,$D13&gt;=S$5,$D13&lt;=S$5+6),"◆","")</f>
        <v/>
      </c>
      <c r="T13" s="13" t="str">
        <f aca="false">IF(AND($D13&lt;&gt;"",$D13=$E13,$D13&gt;=T$5,$D13&lt;=T$5+6),"◆","")</f>
        <v/>
      </c>
      <c r="U13" s="13" t="str">
        <f aca="false">IF(AND($D13&lt;&gt;"",$D13=$E13,$D13&gt;=U$5,$D13&lt;=U$5+6),"◆","")</f>
        <v/>
      </c>
      <c r="V13" s="13" t="str">
        <f aca="false">IF(AND($D13&lt;&gt;"",$D13=$E13,$D13&gt;=V$5,$D13&lt;=V$5+6),"◆","")</f>
        <v/>
      </c>
      <c r="W13" s="13" t="str">
        <f aca="false">IF(AND($D13&lt;&gt;"",$D13=$E13,$D13&gt;=W$5,$D13&lt;=W$5+6),"◆","")</f>
        <v/>
      </c>
      <c r="X13" s="13" t="str">
        <f aca="false">IF(AND($D13&lt;&gt;"",$D13=$E13,$D13&gt;=X$5,$D13&lt;=EOMONTH(X$5,0)),"◆","")</f>
        <v/>
      </c>
      <c r="Y13" s="13" t="str">
        <f aca="false">IF(AND($D13&lt;&gt;"",$D13=$E13,$D13&gt;=Y$5,$D13&lt;=EOMONTH(Y$5,0)),"◆","")</f>
        <v/>
      </c>
      <c r="Z13" s="13" t="str">
        <f aca="false">IF(AND($D13&lt;&gt;"",$D13=$E13,$D13&gt;=Z$5,$D13&lt;=EOMONTH(Z$5,0)),"◆","")</f>
        <v/>
      </c>
      <c r="AA13" s="13" t="str">
        <f aca="false">IF(AND($D13&lt;&gt;"",$D13=$E13,$D13&gt;=AA$5,$D13&lt;=EOMONTH(AA$5,0)),"◆","")</f>
        <v/>
      </c>
      <c r="AB13" s="13" t="str">
        <f aca="false">IF(AND($D13&lt;&gt;"",$D13=$E13,$D13&gt;=AB$5,$D13&lt;=EOMONTH(AB$5,0)),"◆","")</f>
        <v/>
      </c>
    </row>
    <row r="14" customFormat="false" ht="15" hidden="false" customHeight="false" outlineLevel="0" collapsed="false">
      <c r="A14" s="14" t="n">
        <v>7</v>
      </c>
      <c r="B14" s="15" t="s">
        <v>26</v>
      </c>
      <c r="C14" s="14" t="s">
        <v>27</v>
      </c>
      <c r="D14" s="16" t="n">
        <v>46288</v>
      </c>
      <c r="E14" s="16" t="n">
        <v>46288</v>
      </c>
      <c r="F14" s="14" t="n">
        <f aca="false">E14-D14+1</f>
        <v>1</v>
      </c>
      <c r="G14" s="14" t="s">
        <v>28</v>
      </c>
      <c r="H14" s="14"/>
      <c r="I14" s="13" t="str">
        <f aca="false">IF(AND($D14&lt;&gt;"",$D14=$E14,$D14&gt;=I$5,$D14&lt;=I$5+6),"◆","")</f>
        <v/>
      </c>
      <c r="J14" s="13" t="str">
        <f aca="false">IF(AND($D14&lt;&gt;"",$D14=$E14,$D14&gt;=J$5,$D14&lt;=J$5+6),"◆","")</f>
        <v/>
      </c>
      <c r="K14" s="13" t="str">
        <f aca="false">IF(AND($D14&lt;&gt;"",$D14=$E14,$D14&gt;=K$5,$D14&lt;=K$5+6),"◆","")</f>
        <v/>
      </c>
      <c r="L14" s="13" t="str">
        <f aca="false">IF(AND($D14&lt;&gt;"",$D14=$E14,$D14&gt;=L$5,$D14&lt;=L$5+6),"◆","")</f>
        <v>◆</v>
      </c>
      <c r="M14" s="13" t="str">
        <f aca="false">IF(AND($D14&lt;&gt;"",$D14=$E14,$D14&gt;=M$5,$D14&lt;=M$5+6),"◆","")</f>
        <v/>
      </c>
      <c r="N14" s="13" t="str">
        <f aca="false">IF(AND($D14&lt;&gt;"",$D14=$E14,$D14&gt;=N$5,$D14&lt;=N$5+6),"◆","")</f>
        <v/>
      </c>
      <c r="O14" s="13" t="str">
        <f aca="false">IF(AND($D14&lt;&gt;"",$D14=$E14,$D14&gt;=O$5,$D14&lt;=O$5+6),"◆","")</f>
        <v/>
      </c>
      <c r="P14" s="13" t="str">
        <f aca="false">IF(AND($D14&lt;&gt;"",$D14=$E14,$D14&gt;=P$5,$D14&lt;=P$5+6),"◆","")</f>
        <v/>
      </c>
      <c r="Q14" s="13" t="str">
        <f aca="false">IF(AND($D14&lt;&gt;"",$D14=$E14,$D14&gt;=Q$5,$D14&lt;=Q$5+6),"◆","")</f>
        <v/>
      </c>
      <c r="R14" s="13" t="str">
        <f aca="false">IF(AND($D14&lt;&gt;"",$D14=$E14,$D14&gt;=R$5,$D14&lt;=R$5+6),"◆","")</f>
        <v/>
      </c>
      <c r="S14" s="13" t="str">
        <f aca="false">IF(AND($D14&lt;&gt;"",$D14=$E14,$D14&gt;=S$5,$D14&lt;=S$5+6),"◆","")</f>
        <v/>
      </c>
      <c r="T14" s="13" t="str">
        <f aca="false">IF(AND($D14&lt;&gt;"",$D14=$E14,$D14&gt;=T$5,$D14&lt;=T$5+6),"◆","")</f>
        <v/>
      </c>
      <c r="U14" s="13" t="str">
        <f aca="false">IF(AND($D14&lt;&gt;"",$D14=$E14,$D14&gt;=U$5,$D14&lt;=U$5+6),"◆","")</f>
        <v/>
      </c>
      <c r="V14" s="13" t="str">
        <f aca="false">IF(AND($D14&lt;&gt;"",$D14=$E14,$D14&gt;=V$5,$D14&lt;=V$5+6),"◆","")</f>
        <v/>
      </c>
      <c r="W14" s="13" t="str">
        <f aca="false">IF(AND($D14&lt;&gt;"",$D14=$E14,$D14&gt;=W$5,$D14&lt;=W$5+6),"◆","")</f>
        <v/>
      </c>
      <c r="X14" s="13" t="str">
        <f aca="false">IF(AND($D14&lt;&gt;"",$D14=$E14,$D14&gt;=X$5,$D14&lt;=EOMONTH(X$5,0)),"◆","")</f>
        <v/>
      </c>
      <c r="Y14" s="13" t="str">
        <f aca="false">IF(AND($D14&lt;&gt;"",$D14=$E14,$D14&gt;=Y$5,$D14&lt;=EOMONTH(Y$5,0)),"◆","")</f>
        <v/>
      </c>
      <c r="Z14" s="13" t="str">
        <f aca="false">IF(AND($D14&lt;&gt;"",$D14=$E14,$D14&gt;=Z$5,$D14&lt;=EOMONTH(Z$5,0)),"◆","")</f>
        <v/>
      </c>
      <c r="AA14" s="13" t="str">
        <f aca="false">IF(AND($D14&lt;&gt;"",$D14=$E14,$D14&gt;=AA$5,$D14&lt;=EOMONTH(AA$5,0)),"◆","")</f>
        <v/>
      </c>
      <c r="AB14" s="13" t="str">
        <f aca="false">IF(AND($D14&lt;&gt;"",$D14=$E14,$D14&gt;=AB$5,$D14&lt;=EOMONTH(AB$5,0)),"◆","")</f>
        <v/>
      </c>
    </row>
    <row r="15" customFormat="false" ht="15" hidden="false" customHeight="false" outlineLevel="0" collapsed="false">
      <c r="A15" s="10" t="n">
        <v>8</v>
      </c>
      <c r="B15" s="11" t="s">
        <v>29</v>
      </c>
      <c r="C15" s="10" t="s">
        <v>27</v>
      </c>
      <c r="D15" s="12" t="n">
        <v>46293</v>
      </c>
      <c r="E15" s="12" t="n">
        <v>46306</v>
      </c>
      <c r="F15" s="10" t="n">
        <f aca="false">E15-D15+1</f>
        <v>14</v>
      </c>
      <c r="G15" s="10" t="s">
        <v>28</v>
      </c>
      <c r="H15" s="10"/>
      <c r="I15" s="13" t="str">
        <f aca="false">IF(AND($D15&lt;&gt;"",$D15=$E15,$D15&gt;=I$5,$D15&lt;=I$5+6),"◆","")</f>
        <v/>
      </c>
      <c r="J15" s="13" t="str">
        <f aca="false">IF(AND($D15&lt;&gt;"",$D15=$E15,$D15&gt;=J$5,$D15&lt;=J$5+6),"◆","")</f>
        <v/>
      </c>
      <c r="K15" s="13" t="str">
        <f aca="false">IF(AND($D15&lt;&gt;"",$D15=$E15,$D15&gt;=K$5,$D15&lt;=K$5+6),"◆","")</f>
        <v/>
      </c>
      <c r="L15" s="13" t="str">
        <f aca="false">IF(AND($D15&lt;&gt;"",$D15=$E15,$D15&gt;=L$5,$D15&lt;=L$5+6),"◆","")</f>
        <v/>
      </c>
      <c r="M15" s="13" t="str">
        <f aca="false">IF(AND($D15&lt;&gt;"",$D15=$E15,$D15&gt;=M$5,$D15&lt;=M$5+6),"◆","")</f>
        <v/>
      </c>
      <c r="N15" s="13" t="str">
        <f aca="false">IF(AND($D15&lt;&gt;"",$D15=$E15,$D15&gt;=N$5,$D15&lt;=N$5+6),"◆","")</f>
        <v/>
      </c>
      <c r="O15" s="13" t="str">
        <f aca="false">IF(AND($D15&lt;&gt;"",$D15=$E15,$D15&gt;=O$5,$D15&lt;=O$5+6),"◆","")</f>
        <v/>
      </c>
      <c r="P15" s="13" t="str">
        <f aca="false">IF(AND($D15&lt;&gt;"",$D15=$E15,$D15&gt;=P$5,$D15&lt;=P$5+6),"◆","")</f>
        <v/>
      </c>
      <c r="Q15" s="13" t="str">
        <f aca="false">IF(AND($D15&lt;&gt;"",$D15=$E15,$D15&gt;=Q$5,$D15&lt;=Q$5+6),"◆","")</f>
        <v/>
      </c>
      <c r="R15" s="13" t="str">
        <f aca="false">IF(AND($D15&lt;&gt;"",$D15=$E15,$D15&gt;=R$5,$D15&lt;=R$5+6),"◆","")</f>
        <v/>
      </c>
      <c r="S15" s="13" t="str">
        <f aca="false">IF(AND($D15&lt;&gt;"",$D15=$E15,$D15&gt;=S$5,$D15&lt;=S$5+6),"◆","")</f>
        <v/>
      </c>
      <c r="T15" s="13" t="str">
        <f aca="false">IF(AND($D15&lt;&gt;"",$D15=$E15,$D15&gt;=T$5,$D15&lt;=T$5+6),"◆","")</f>
        <v/>
      </c>
      <c r="U15" s="13" t="str">
        <f aca="false">IF(AND($D15&lt;&gt;"",$D15=$E15,$D15&gt;=U$5,$D15&lt;=U$5+6),"◆","")</f>
        <v/>
      </c>
      <c r="V15" s="13" t="str">
        <f aca="false">IF(AND($D15&lt;&gt;"",$D15=$E15,$D15&gt;=V$5,$D15&lt;=V$5+6),"◆","")</f>
        <v/>
      </c>
      <c r="W15" s="13" t="str">
        <f aca="false">IF(AND($D15&lt;&gt;"",$D15=$E15,$D15&gt;=W$5,$D15&lt;=W$5+6),"◆","")</f>
        <v/>
      </c>
      <c r="X15" s="13" t="str">
        <f aca="false">IF(AND($D15&lt;&gt;"",$D15=$E15,$D15&gt;=X$5,$D15&lt;=EOMONTH(X$5,0)),"◆","")</f>
        <v/>
      </c>
      <c r="Y15" s="13" t="str">
        <f aca="false">IF(AND($D15&lt;&gt;"",$D15=$E15,$D15&gt;=Y$5,$D15&lt;=EOMONTH(Y$5,0)),"◆","")</f>
        <v/>
      </c>
      <c r="Z15" s="13" t="str">
        <f aca="false">IF(AND($D15&lt;&gt;"",$D15=$E15,$D15&gt;=Z$5,$D15&lt;=EOMONTH(Z$5,0)),"◆","")</f>
        <v/>
      </c>
      <c r="AA15" s="13" t="str">
        <f aca="false">IF(AND($D15&lt;&gt;"",$D15=$E15,$D15&gt;=AA$5,$D15&lt;=EOMONTH(AA$5,0)),"◆","")</f>
        <v/>
      </c>
      <c r="AB15" s="13" t="str">
        <f aca="false">IF(AND($D15&lt;&gt;"",$D15=$E15,$D15&gt;=AB$5,$D15&lt;=EOMONTH(AB$5,0)),"◆","")</f>
        <v/>
      </c>
    </row>
    <row r="16" customFormat="false" ht="15" hidden="false" customHeight="false" outlineLevel="0" collapsed="false">
      <c r="A16" s="10" t="n">
        <v>9</v>
      </c>
      <c r="B16" s="11" t="s">
        <v>30</v>
      </c>
      <c r="C16" s="10" t="s">
        <v>27</v>
      </c>
      <c r="D16" s="12" t="n">
        <v>46300</v>
      </c>
      <c r="E16" s="12" t="n">
        <v>46313</v>
      </c>
      <c r="F16" s="10" t="n">
        <f aca="false">E16-D16+1</f>
        <v>14</v>
      </c>
      <c r="G16" s="10" t="s">
        <v>31</v>
      </c>
      <c r="H16" s="10"/>
      <c r="I16" s="13" t="str">
        <f aca="false">IF(AND($D16&lt;&gt;"",$D16=$E16,$D16&gt;=I$5,$D16&lt;=I$5+6),"◆","")</f>
        <v/>
      </c>
      <c r="J16" s="13" t="str">
        <f aca="false">IF(AND($D16&lt;&gt;"",$D16=$E16,$D16&gt;=J$5,$D16&lt;=J$5+6),"◆","")</f>
        <v/>
      </c>
      <c r="K16" s="13" t="str">
        <f aca="false">IF(AND($D16&lt;&gt;"",$D16=$E16,$D16&gt;=K$5,$D16&lt;=K$5+6),"◆","")</f>
        <v/>
      </c>
      <c r="L16" s="13" t="str">
        <f aca="false">IF(AND($D16&lt;&gt;"",$D16=$E16,$D16&gt;=L$5,$D16&lt;=L$5+6),"◆","")</f>
        <v/>
      </c>
      <c r="M16" s="13" t="str">
        <f aca="false">IF(AND($D16&lt;&gt;"",$D16=$E16,$D16&gt;=M$5,$D16&lt;=M$5+6),"◆","")</f>
        <v/>
      </c>
      <c r="N16" s="13" t="str">
        <f aca="false">IF(AND($D16&lt;&gt;"",$D16=$E16,$D16&gt;=N$5,$D16&lt;=N$5+6),"◆","")</f>
        <v/>
      </c>
      <c r="O16" s="13" t="str">
        <f aca="false">IF(AND($D16&lt;&gt;"",$D16=$E16,$D16&gt;=O$5,$D16&lt;=O$5+6),"◆","")</f>
        <v/>
      </c>
      <c r="P16" s="13" t="str">
        <f aca="false">IF(AND($D16&lt;&gt;"",$D16=$E16,$D16&gt;=P$5,$D16&lt;=P$5+6),"◆","")</f>
        <v/>
      </c>
      <c r="Q16" s="13" t="str">
        <f aca="false">IF(AND($D16&lt;&gt;"",$D16=$E16,$D16&gt;=Q$5,$D16&lt;=Q$5+6),"◆","")</f>
        <v/>
      </c>
      <c r="R16" s="13" t="str">
        <f aca="false">IF(AND($D16&lt;&gt;"",$D16=$E16,$D16&gt;=R$5,$D16&lt;=R$5+6),"◆","")</f>
        <v/>
      </c>
      <c r="S16" s="13" t="str">
        <f aca="false">IF(AND($D16&lt;&gt;"",$D16=$E16,$D16&gt;=S$5,$D16&lt;=S$5+6),"◆","")</f>
        <v/>
      </c>
      <c r="T16" s="13" t="str">
        <f aca="false">IF(AND($D16&lt;&gt;"",$D16=$E16,$D16&gt;=T$5,$D16&lt;=T$5+6),"◆","")</f>
        <v/>
      </c>
      <c r="U16" s="13" t="str">
        <f aca="false">IF(AND($D16&lt;&gt;"",$D16=$E16,$D16&gt;=U$5,$D16&lt;=U$5+6),"◆","")</f>
        <v/>
      </c>
      <c r="V16" s="13" t="str">
        <f aca="false">IF(AND($D16&lt;&gt;"",$D16=$E16,$D16&gt;=V$5,$D16&lt;=V$5+6),"◆","")</f>
        <v/>
      </c>
      <c r="W16" s="13" t="str">
        <f aca="false">IF(AND($D16&lt;&gt;"",$D16=$E16,$D16&gt;=W$5,$D16&lt;=W$5+6),"◆","")</f>
        <v/>
      </c>
      <c r="X16" s="13" t="str">
        <f aca="false">IF(AND($D16&lt;&gt;"",$D16=$E16,$D16&gt;=X$5,$D16&lt;=EOMONTH(X$5,0)),"◆","")</f>
        <v/>
      </c>
      <c r="Y16" s="13" t="str">
        <f aca="false">IF(AND($D16&lt;&gt;"",$D16=$E16,$D16&gt;=Y$5,$D16&lt;=EOMONTH(Y$5,0)),"◆","")</f>
        <v/>
      </c>
      <c r="Z16" s="13" t="str">
        <f aca="false">IF(AND($D16&lt;&gt;"",$D16=$E16,$D16&gt;=Z$5,$D16&lt;=EOMONTH(Z$5,0)),"◆","")</f>
        <v/>
      </c>
      <c r="AA16" s="13" t="str">
        <f aca="false">IF(AND($D16&lt;&gt;"",$D16=$E16,$D16&gt;=AA$5,$D16&lt;=EOMONTH(AA$5,0)),"◆","")</f>
        <v/>
      </c>
      <c r="AB16" s="13" t="str">
        <f aca="false">IF(AND($D16&lt;&gt;"",$D16=$E16,$D16&gt;=AB$5,$D16&lt;=EOMONTH(AB$5,0)),"◆","")</f>
        <v/>
      </c>
    </row>
    <row r="17" customFormat="false" ht="15" hidden="false" customHeight="false" outlineLevel="0" collapsed="false">
      <c r="A17" s="14" t="n">
        <v>10</v>
      </c>
      <c r="B17" s="15" t="s">
        <v>32</v>
      </c>
      <c r="C17" s="14" t="s">
        <v>27</v>
      </c>
      <c r="D17" s="16" t="n">
        <v>46311</v>
      </c>
      <c r="E17" s="16" t="n">
        <v>46311</v>
      </c>
      <c r="F17" s="14" t="n">
        <f aca="false">E17-D17+1</f>
        <v>1</v>
      </c>
      <c r="G17" s="14" t="s">
        <v>33</v>
      </c>
      <c r="H17" s="14"/>
      <c r="I17" s="13" t="str">
        <f aca="false">IF(AND($D17&lt;&gt;"",$D17=$E17,$D17&gt;=I$5,$D17&lt;=I$5+6),"◆","")</f>
        <v/>
      </c>
      <c r="J17" s="13" t="str">
        <f aca="false">IF(AND($D17&lt;&gt;"",$D17=$E17,$D17&gt;=J$5,$D17&lt;=J$5+6),"◆","")</f>
        <v/>
      </c>
      <c r="K17" s="13" t="str">
        <f aca="false">IF(AND($D17&lt;&gt;"",$D17=$E17,$D17&gt;=K$5,$D17&lt;=K$5+6),"◆","")</f>
        <v/>
      </c>
      <c r="L17" s="13" t="str">
        <f aca="false">IF(AND($D17&lt;&gt;"",$D17=$E17,$D17&gt;=L$5,$D17&lt;=L$5+6),"◆","")</f>
        <v/>
      </c>
      <c r="M17" s="13" t="str">
        <f aca="false">IF(AND($D17&lt;&gt;"",$D17=$E17,$D17&gt;=M$5,$D17&lt;=M$5+6),"◆","")</f>
        <v/>
      </c>
      <c r="N17" s="13" t="str">
        <f aca="false">IF(AND($D17&lt;&gt;"",$D17=$E17,$D17&gt;=N$5,$D17&lt;=N$5+6),"◆","")</f>
        <v/>
      </c>
      <c r="O17" s="13" t="str">
        <f aca="false">IF(AND($D17&lt;&gt;"",$D17=$E17,$D17&gt;=O$5,$D17&lt;=O$5+6),"◆","")</f>
        <v>◆</v>
      </c>
      <c r="P17" s="13" t="str">
        <f aca="false">IF(AND($D17&lt;&gt;"",$D17=$E17,$D17&gt;=P$5,$D17&lt;=P$5+6),"◆","")</f>
        <v/>
      </c>
      <c r="Q17" s="13" t="str">
        <f aca="false">IF(AND($D17&lt;&gt;"",$D17=$E17,$D17&gt;=Q$5,$D17&lt;=Q$5+6),"◆","")</f>
        <v/>
      </c>
      <c r="R17" s="13" t="str">
        <f aca="false">IF(AND($D17&lt;&gt;"",$D17=$E17,$D17&gt;=R$5,$D17&lt;=R$5+6),"◆","")</f>
        <v/>
      </c>
      <c r="S17" s="13" t="str">
        <f aca="false">IF(AND($D17&lt;&gt;"",$D17=$E17,$D17&gt;=S$5,$D17&lt;=S$5+6),"◆","")</f>
        <v/>
      </c>
      <c r="T17" s="13" t="str">
        <f aca="false">IF(AND($D17&lt;&gt;"",$D17=$E17,$D17&gt;=T$5,$D17&lt;=T$5+6),"◆","")</f>
        <v/>
      </c>
      <c r="U17" s="13" t="str">
        <f aca="false">IF(AND($D17&lt;&gt;"",$D17=$E17,$D17&gt;=U$5,$D17&lt;=U$5+6),"◆","")</f>
        <v/>
      </c>
      <c r="V17" s="13" t="str">
        <f aca="false">IF(AND($D17&lt;&gt;"",$D17=$E17,$D17&gt;=V$5,$D17&lt;=V$5+6),"◆","")</f>
        <v/>
      </c>
      <c r="W17" s="13" t="str">
        <f aca="false">IF(AND($D17&lt;&gt;"",$D17=$E17,$D17&gt;=W$5,$D17&lt;=W$5+6),"◆","")</f>
        <v/>
      </c>
      <c r="X17" s="13" t="str">
        <f aca="false">IF(AND($D17&lt;&gt;"",$D17=$E17,$D17&gt;=X$5,$D17&lt;=EOMONTH(X$5,0)),"◆","")</f>
        <v/>
      </c>
      <c r="Y17" s="13" t="str">
        <f aca="false">IF(AND($D17&lt;&gt;"",$D17=$E17,$D17&gt;=Y$5,$D17&lt;=EOMONTH(Y$5,0)),"◆","")</f>
        <v/>
      </c>
      <c r="Z17" s="13" t="str">
        <f aca="false">IF(AND($D17&lt;&gt;"",$D17=$E17,$D17&gt;=Z$5,$D17&lt;=EOMONTH(Z$5,0)),"◆","")</f>
        <v/>
      </c>
      <c r="AA17" s="13" t="str">
        <f aca="false">IF(AND($D17&lt;&gt;"",$D17=$E17,$D17&gt;=AA$5,$D17&lt;=EOMONTH(AA$5,0)),"◆","")</f>
        <v/>
      </c>
      <c r="AB17" s="13" t="str">
        <f aca="false">IF(AND($D17&lt;&gt;"",$D17=$E17,$D17&gt;=AB$5,$D17&lt;=EOMONTH(AB$5,0)),"◆","")</f>
        <v/>
      </c>
    </row>
    <row r="18" customFormat="false" ht="15" hidden="false" customHeight="false" outlineLevel="0" collapsed="false">
      <c r="A18" s="8" t="s">
        <v>34</v>
      </c>
      <c r="B18" s="8"/>
      <c r="C18" s="8"/>
      <c r="D18" s="8"/>
      <c r="E18" s="8"/>
      <c r="F18" s="8"/>
      <c r="G18" s="8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customFormat="false" ht="15" hidden="false" customHeight="false" outlineLevel="0" collapsed="false">
      <c r="A19" s="10" t="n">
        <v>11</v>
      </c>
      <c r="B19" s="11" t="s">
        <v>35</v>
      </c>
      <c r="C19" s="10" t="s">
        <v>27</v>
      </c>
      <c r="D19" s="12" t="n">
        <v>46307</v>
      </c>
      <c r="E19" s="12" t="n">
        <v>46320</v>
      </c>
      <c r="F19" s="10" t="n">
        <f aca="false">E19-D19+1</f>
        <v>14</v>
      </c>
      <c r="G19" s="10" t="s">
        <v>36</v>
      </c>
      <c r="H19" s="10"/>
      <c r="I19" s="13" t="str">
        <f aca="false">IF(AND($D19&lt;&gt;"",$D19=$E19,$D19&gt;=I$5,$D19&lt;=I$5+6),"◆","")</f>
        <v/>
      </c>
      <c r="J19" s="13" t="str">
        <f aca="false">IF(AND($D19&lt;&gt;"",$D19=$E19,$D19&gt;=J$5,$D19&lt;=J$5+6),"◆","")</f>
        <v/>
      </c>
      <c r="K19" s="13" t="str">
        <f aca="false">IF(AND($D19&lt;&gt;"",$D19=$E19,$D19&gt;=K$5,$D19&lt;=K$5+6),"◆","")</f>
        <v/>
      </c>
      <c r="L19" s="13" t="str">
        <f aca="false">IF(AND($D19&lt;&gt;"",$D19=$E19,$D19&gt;=L$5,$D19&lt;=L$5+6),"◆","")</f>
        <v/>
      </c>
      <c r="M19" s="13" t="str">
        <f aca="false">IF(AND($D19&lt;&gt;"",$D19=$E19,$D19&gt;=M$5,$D19&lt;=M$5+6),"◆","")</f>
        <v/>
      </c>
      <c r="N19" s="13" t="str">
        <f aca="false">IF(AND($D19&lt;&gt;"",$D19=$E19,$D19&gt;=N$5,$D19&lt;=N$5+6),"◆","")</f>
        <v/>
      </c>
      <c r="O19" s="13" t="str">
        <f aca="false">IF(AND($D19&lt;&gt;"",$D19=$E19,$D19&gt;=O$5,$D19&lt;=O$5+6),"◆","")</f>
        <v/>
      </c>
      <c r="P19" s="13" t="str">
        <f aca="false">IF(AND($D19&lt;&gt;"",$D19=$E19,$D19&gt;=P$5,$D19&lt;=P$5+6),"◆","")</f>
        <v/>
      </c>
      <c r="Q19" s="13" t="str">
        <f aca="false">IF(AND($D19&lt;&gt;"",$D19=$E19,$D19&gt;=Q$5,$D19&lt;=Q$5+6),"◆","")</f>
        <v/>
      </c>
      <c r="R19" s="13" t="str">
        <f aca="false">IF(AND($D19&lt;&gt;"",$D19=$E19,$D19&gt;=R$5,$D19&lt;=R$5+6),"◆","")</f>
        <v/>
      </c>
      <c r="S19" s="13" t="str">
        <f aca="false">IF(AND($D19&lt;&gt;"",$D19=$E19,$D19&gt;=S$5,$D19&lt;=S$5+6),"◆","")</f>
        <v/>
      </c>
      <c r="T19" s="13" t="str">
        <f aca="false">IF(AND($D19&lt;&gt;"",$D19=$E19,$D19&gt;=T$5,$D19&lt;=T$5+6),"◆","")</f>
        <v/>
      </c>
      <c r="U19" s="13" t="str">
        <f aca="false">IF(AND($D19&lt;&gt;"",$D19=$E19,$D19&gt;=U$5,$D19&lt;=U$5+6),"◆","")</f>
        <v/>
      </c>
      <c r="V19" s="13" t="str">
        <f aca="false">IF(AND($D19&lt;&gt;"",$D19=$E19,$D19&gt;=V$5,$D19&lt;=V$5+6),"◆","")</f>
        <v/>
      </c>
      <c r="W19" s="13" t="str">
        <f aca="false">IF(AND($D19&lt;&gt;"",$D19=$E19,$D19&gt;=W$5,$D19&lt;=W$5+6),"◆","")</f>
        <v/>
      </c>
      <c r="X19" s="13" t="str">
        <f aca="false">IF(AND($D19&lt;&gt;"",$D19=$E19,$D19&gt;=X$5,$D19&lt;=EOMONTH(X$5,0)),"◆","")</f>
        <v/>
      </c>
      <c r="Y19" s="13" t="str">
        <f aca="false">IF(AND($D19&lt;&gt;"",$D19=$E19,$D19&gt;=Y$5,$D19&lt;=EOMONTH(Y$5,0)),"◆","")</f>
        <v/>
      </c>
      <c r="Z19" s="13" t="str">
        <f aca="false">IF(AND($D19&lt;&gt;"",$D19=$E19,$D19&gt;=Z$5,$D19&lt;=EOMONTH(Z$5,0)),"◆","")</f>
        <v/>
      </c>
      <c r="AA19" s="13" t="str">
        <f aca="false">IF(AND($D19&lt;&gt;"",$D19=$E19,$D19&gt;=AA$5,$D19&lt;=EOMONTH(AA$5,0)),"◆","")</f>
        <v/>
      </c>
      <c r="AB19" s="13" t="str">
        <f aca="false">IF(AND($D19&lt;&gt;"",$D19=$E19,$D19&gt;=AB$5,$D19&lt;=EOMONTH(AB$5,0)),"◆","")</f>
        <v/>
      </c>
    </row>
    <row r="20" customFormat="false" ht="15" hidden="false" customHeight="false" outlineLevel="0" collapsed="false">
      <c r="A20" s="10" t="n">
        <v>12</v>
      </c>
      <c r="B20" s="11" t="s">
        <v>37</v>
      </c>
      <c r="C20" s="10" t="s">
        <v>27</v>
      </c>
      <c r="D20" s="12" t="n">
        <v>46314</v>
      </c>
      <c r="E20" s="12" t="n">
        <v>46327</v>
      </c>
      <c r="F20" s="10" t="n">
        <f aca="false">E20-D20+1</f>
        <v>14</v>
      </c>
      <c r="G20" s="10" t="s">
        <v>38</v>
      </c>
      <c r="H20" s="10"/>
      <c r="I20" s="13" t="str">
        <f aca="false">IF(AND($D20&lt;&gt;"",$D20=$E20,$D20&gt;=I$5,$D20&lt;=I$5+6),"◆","")</f>
        <v/>
      </c>
      <c r="J20" s="13" t="str">
        <f aca="false">IF(AND($D20&lt;&gt;"",$D20=$E20,$D20&gt;=J$5,$D20&lt;=J$5+6),"◆","")</f>
        <v/>
      </c>
      <c r="K20" s="13" t="str">
        <f aca="false">IF(AND($D20&lt;&gt;"",$D20=$E20,$D20&gt;=K$5,$D20&lt;=K$5+6),"◆","")</f>
        <v/>
      </c>
      <c r="L20" s="13" t="str">
        <f aca="false">IF(AND($D20&lt;&gt;"",$D20=$E20,$D20&gt;=L$5,$D20&lt;=L$5+6),"◆","")</f>
        <v/>
      </c>
      <c r="M20" s="13" t="str">
        <f aca="false">IF(AND($D20&lt;&gt;"",$D20=$E20,$D20&gt;=M$5,$D20&lt;=M$5+6),"◆","")</f>
        <v/>
      </c>
      <c r="N20" s="13" t="str">
        <f aca="false">IF(AND($D20&lt;&gt;"",$D20=$E20,$D20&gt;=N$5,$D20&lt;=N$5+6),"◆","")</f>
        <v/>
      </c>
      <c r="O20" s="13" t="str">
        <f aca="false">IF(AND($D20&lt;&gt;"",$D20=$E20,$D20&gt;=O$5,$D20&lt;=O$5+6),"◆","")</f>
        <v/>
      </c>
      <c r="P20" s="13" t="str">
        <f aca="false">IF(AND($D20&lt;&gt;"",$D20=$E20,$D20&gt;=P$5,$D20&lt;=P$5+6),"◆","")</f>
        <v/>
      </c>
      <c r="Q20" s="13" t="str">
        <f aca="false">IF(AND($D20&lt;&gt;"",$D20=$E20,$D20&gt;=Q$5,$D20&lt;=Q$5+6),"◆","")</f>
        <v/>
      </c>
      <c r="R20" s="13" t="str">
        <f aca="false">IF(AND($D20&lt;&gt;"",$D20=$E20,$D20&gt;=R$5,$D20&lt;=R$5+6),"◆","")</f>
        <v/>
      </c>
      <c r="S20" s="13" t="str">
        <f aca="false">IF(AND($D20&lt;&gt;"",$D20=$E20,$D20&gt;=S$5,$D20&lt;=S$5+6),"◆","")</f>
        <v/>
      </c>
      <c r="T20" s="13" t="str">
        <f aca="false">IF(AND($D20&lt;&gt;"",$D20=$E20,$D20&gt;=T$5,$D20&lt;=T$5+6),"◆","")</f>
        <v/>
      </c>
      <c r="U20" s="13" t="str">
        <f aca="false">IF(AND($D20&lt;&gt;"",$D20=$E20,$D20&gt;=U$5,$D20&lt;=U$5+6),"◆","")</f>
        <v/>
      </c>
      <c r="V20" s="13" t="str">
        <f aca="false">IF(AND($D20&lt;&gt;"",$D20=$E20,$D20&gt;=V$5,$D20&lt;=V$5+6),"◆","")</f>
        <v/>
      </c>
      <c r="W20" s="13" t="str">
        <f aca="false">IF(AND($D20&lt;&gt;"",$D20=$E20,$D20&gt;=W$5,$D20&lt;=W$5+6),"◆","")</f>
        <v/>
      </c>
      <c r="X20" s="13" t="str">
        <f aca="false">IF(AND($D20&lt;&gt;"",$D20=$E20,$D20&gt;=X$5,$D20&lt;=EOMONTH(X$5,0)),"◆","")</f>
        <v/>
      </c>
      <c r="Y20" s="13" t="str">
        <f aca="false">IF(AND($D20&lt;&gt;"",$D20=$E20,$D20&gt;=Y$5,$D20&lt;=EOMONTH(Y$5,0)),"◆","")</f>
        <v/>
      </c>
      <c r="Z20" s="13" t="str">
        <f aca="false">IF(AND($D20&lt;&gt;"",$D20=$E20,$D20&gt;=Z$5,$D20&lt;=EOMONTH(Z$5,0)),"◆","")</f>
        <v/>
      </c>
      <c r="AA20" s="13" t="str">
        <f aca="false">IF(AND($D20&lt;&gt;"",$D20=$E20,$D20&gt;=AA$5,$D20&lt;=EOMONTH(AA$5,0)),"◆","")</f>
        <v/>
      </c>
      <c r="AB20" s="13" t="str">
        <f aca="false">IF(AND($D20&lt;&gt;"",$D20=$E20,$D20&gt;=AB$5,$D20&lt;=EOMONTH(AB$5,0)),"◆","")</f>
        <v/>
      </c>
    </row>
    <row r="21" customFormat="false" ht="15" hidden="false" customHeight="false" outlineLevel="0" collapsed="false">
      <c r="A21" s="10" t="n">
        <v>13</v>
      </c>
      <c r="B21" s="11" t="s">
        <v>39</v>
      </c>
      <c r="C21" s="10" t="s">
        <v>27</v>
      </c>
      <c r="D21" s="12" t="n">
        <v>46321</v>
      </c>
      <c r="E21" s="12" t="n">
        <v>46334</v>
      </c>
      <c r="F21" s="10" t="n">
        <f aca="false">E21-D21+1</f>
        <v>14</v>
      </c>
      <c r="G21" s="10" t="s">
        <v>38</v>
      </c>
      <c r="H21" s="10"/>
      <c r="I21" s="13" t="str">
        <f aca="false">IF(AND($D21&lt;&gt;"",$D21=$E21,$D21&gt;=I$5,$D21&lt;=I$5+6),"◆","")</f>
        <v/>
      </c>
      <c r="J21" s="13" t="str">
        <f aca="false">IF(AND($D21&lt;&gt;"",$D21=$E21,$D21&gt;=J$5,$D21&lt;=J$5+6),"◆","")</f>
        <v/>
      </c>
      <c r="K21" s="13" t="str">
        <f aca="false">IF(AND($D21&lt;&gt;"",$D21=$E21,$D21&gt;=K$5,$D21&lt;=K$5+6),"◆","")</f>
        <v/>
      </c>
      <c r="L21" s="13" t="str">
        <f aca="false">IF(AND($D21&lt;&gt;"",$D21=$E21,$D21&gt;=L$5,$D21&lt;=L$5+6),"◆","")</f>
        <v/>
      </c>
      <c r="M21" s="13" t="str">
        <f aca="false">IF(AND($D21&lt;&gt;"",$D21=$E21,$D21&gt;=M$5,$D21&lt;=M$5+6),"◆","")</f>
        <v/>
      </c>
      <c r="N21" s="13" t="str">
        <f aca="false">IF(AND($D21&lt;&gt;"",$D21=$E21,$D21&gt;=N$5,$D21&lt;=N$5+6),"◆","")</f>
        <v/>
      </c>
      <c r="O21" s="13" t="str">
        <f aca="false">IF(AND($D21&lt;&gt;"",$D21=$E21,$D21&gt;=O$5,$D21&lt;=O$5+6),"◆","")</f>
        <v/>
      </c>
      <c r="P21" s="13" t="str">
        <f aca="false">IF(AND($D21&lt;&gt;"",$D21=$E21,$D21&gt;=P$5,$D21&lt;=P$5+6),"◆","")</f>
        <v/>
      </c>
      <c r="Q21" s="13" t="str">
        <f aca="false">IF(AND($D21&lt;&gt;"",$D21=$E21,$D21&gt;=Q$5,$D21&lt;=Q$5+6),"◆","")</f>
        <v/>
      </c>
      <c r="R21" s="13" t="str">
        <f aca="false">IF(AND($D21&lt;&gt;"",$D21=$E21,$D21&gt;=R$5,$D21&lt;=R$5+6),"◆","")</f>
        <v/>
      </c>
      <c r="S21" s="13" t="str">
        <f aca="false">IF(AND($D21&lt;&gt;"",$D21=$E21,$D21&gt;=S$5,$D21&lt;=S$5+6),"◆","")</f>
        <v/>
      </c>
      <c r="T21" s="13" t="str">
        <f aca="false">IF(AND($D21&lt;&gt;"",$D21=$E21,$D21&gt;=T$5,$D21&lt;=T$5+6),"◆","")</f>
        <v/>
      </c>
      <c r="U21" s="13" t="str">
        <f aca="false">IF(AND($D21&lt;&gt;"",$D21=$E21,$D21&gt;=U$5,$D21&lt;=U$5+6),"◆","")</f>
        <v/>
      </c>
      <c r="V21" s="13" t="str">
        <f aca="false">IF(AND($D21&lt;&gt;"",$D21=$E21,$D21&gt;=V$5,$D21&lt;=V$5+6),"◆","")</f>
        <v/>
      </c>
      <c r="W21" s="13" t="str">
        <f aca="false">IF(AND($D21&lt;&gt;"",$D21=$E21,$D21&gt;=W$5,$D21&lt;=W$5+6),"◆","")</f>
        <v/>
      </c>
      <c r="X21" s="13" t="str">
        <f aca="false">IF(AND($D21&lt;&gt;"",$D21=$E21,$D21&gt;=X$5,$D21&lt;=EOMONTH(X$5,0)),"◆","")</f>
        <v/>
      </c>
      <c r="Y21" s="13" t="str">
        <f aca="false">IF(AND($D21&lt;&gt;"",$D21=$E21,$D21&gt;=Y$5,$D21&lt;=EOMONTH(Y$5,0)),"◆","")</f>
        <v/>
      </c>
      <c r="Z21" s="13" t="str">
        <f aca="false">IF(AND($D21&lt;&gt;"",$D21=$E21,$D21&gt;=Z$5,$D21&lt;=EOMONTH(Z$5,0)),"◆","")</f>
        <v/>
      </c>
      <c r="AA21" s="13" t="str">
        <f aca="false">IF(AND($D21&lt;&gt;"",$D21=$E21,$D21&gt;=AA$5,$D21&lt;=EOMONTH(AA$5,0)),"◆","")</f>
        <v/>
      </c>
      <c r="AB21" s="13" t="str">
        <f aca="false">IF(AND($D21&lt;&gt;"",$D21=$E21,$D21&gt;=AB$5,$D21&lt;=EOMONTH(AB$5,0)),"◆","")</f>
        <v/>
      </c>
    </row>
    <row r="22" customFormat="false" ht="15" hidden="false" customHeight="false" outlineLevel="0" collapsed="false">
      <c r="A22" s="10" t="n">
        <v>14</v>
      </c>
      <c r="B22" s="11" t="s">
        <v>40</v>
      </c>
      <c r="C22" s="10" t="s">
        <v>27</v>
      </c>
      <c r="D22" s="12" t="n">
        <v>46328</v>
      </c>
      <c r="E22" s="12" t="n">
        <v>46341</v>
      </c>
      <c r="F22" s="10" t="n">
        <f aca="false">E22-D22+1</f>
        <v>14</v>
      </c>
      <c r="G22" s="10" t="s">
        <v>38</v>
      </c>
      <c r="H22" s="10"/>
      <c r="I22" s="13" t="str">
        <f aca="false">IF(AND($D22&lt;&gt;"",$D22=$E22,$D22&gt;=I$5,$D22&lt;=I$5+6),"◆","")</f>
        <v/>
      </c>
      <c r="J22" s="13" t="str">
        <f aca="false">IF(AND($D22&lt;&gt;"",$D22=$E22,$D22&gt;=J$5,$D22&lt;=J$5+6),"◆","")</f>
        <v/>
      </c>
      <c r="K22" s="13" t="str">
        <f aca="false">IF(AND($D22&lt;&gt;"",$D22=$E22,$D22&gt;=K$5,$D22&lt;=K$5+6),"◆","")</f>
        <v/>
      </c>
      <c r="L22" s="13" t="str">
        <f aca="false">IF(AND($D22&lt;&gt;"",$D22=$E22,$D22&gt;=L$5,$D22&lt;=L$5+6),"◆","")</f>
        <v/>
      </c>
      <c r="M22" s="13" t="str">
        <f aca="false">IF(AND($D22&lt;&gt;"",$D22=$E22,$D22&gt;=M$5,$D22&lt;=M$5+6),"◆","")</f>
        <v/>
      </c>
      <c r="N22" s="13" t="str">
        <f aca="false">IF(AND($D22&lt;&gt;"",$D22=$E22,$D22&gt;=N$5,$D22&lt;=N$5+6),"◆","")</f>
        <v/>
      </c>
      <c r="O22" s="13" t="str">
        <f aca="false">IF(AND($D22&lt;&gt;"",$D22=$E22,$D22&gt;=O$5,$D22&lt;=O$5+6),"◆","")</f>
        <v/>
      </c>
      <c r="P22" s="13" t="str">
        <f aca="false">IF(AND($D22&lt;&gt;"",$D22=$E22,$D22&gt;=P$5,$D22&lt;=P$5+6),"◆","")</f>
        <v/>
      </c>
      <c r="Q22" s="13" t="str">
        <f aca="false">IF(AND($D22&lt;&gt;"",$D22=$E22,$D22&gt;=Q$5,$D22&lt;=Q$5+6),"◆","")</f>
        <v/>
      </c>
      <c r="R22" s="13" t="str">
        <f aca="false">IF(AND($D22&lt;&gt;"",$D22=$E22,$D22&gt;=R$5,$D22&lt;=R$5+6),"◆","")</f>
        <v/>
      </c>
      <c r="S22" s="13" t="str">
        <f aca="false">IF(AND($D22&lt;&gt;"",$D22=$E22,$D22&gt;=S$5,$D22&lt;=S$5+6),"◆","")</f>
        <v/>
      </c>
      <c r="T22" s="13" t="str">
        <f aca="false">IF(AND($D22&lt;&gt;"",$D22=$E22,$D22&gt;=T$5,$D22&lt;=T$5+6),"◆","")</f>
        <v/>
      </c>
      <c r="U22" s="13" t="str">
        <f aca="false">IF(AND($D22&lt;&gt;"",$D22=$E22,$D22&gt;=U$5,$D22&lt;=U$5+6),"◆","")</f>
        <v/>
      </c>
      <c r="V22" s="13" t="str">
        <f aca="false">IF(AND($D22&lt;&gt;"",$D22=$E22,$D22&gt;=V$5,$D22&lt;=V$5+6),"◆","")</f>
        <v/>
      </c>
      <c r="W22" s="13" t="str">
        <f aca="false">IF(AND($D22&lt;&gt;"",$D22=$E22,$D22&gt;=W$5,$D22&lt;=W$5+6),"◆","")</f>
        <v/>
      </c>
      <c r="X22" s="13" t="str">
        <f aca="false">IF(AND($D22&lt;&gt;"",$D22=$E22,$D22&gt;=X$5,$D22&lt;=EOMONTH(X$5,0)),"◆","")</f>
        <v/>
      </c>
      <c r="Y22" s="13" t="str">
        <f aca="false">IF(AND($D22&lt;&gt;"",$D22=$E22,$D22&gt;=Y$5,$D22&lt;=EOMONTH(Y$5,0)),"◆","")</f>
        <v/>
      </c>
      <c r="Z22" s="13" t="str">
        <f aca="false">IF(AND($D22&lt;&gt;"",$D22=$E22,$D22&gt;=Z$5,$D22&lt;=EOMONTH(Z$5,0)),"◆","")</f>
        <v/>
      </c>
      <c r="AA22" s="13" t="str">
        <f aca="false">IF(AND($D22&lt;&gt;"",$D22=$E22,$D22&gt;=AA$5,$D22&lt;=EOMONTH(AA$5,0)),"◆","")</f>
        <v/>
      </c>
      <c r="AB22" s="13" t="str">
        <f aca="false">IF(AND($D22&lt;&gt;"",$D22=$E22,$D22&gt;=AB$5,$D22&lt;=EOMONTH(AB$5,0)),"◆","")</f>
        <v/>
      </c>
    </row>
    <row r="23" customFormat="false" ht="15" hidden="false" customHeight="false" outlineLevel="0" collapsed="false">
      <c r="A23" s="10" t="n">
        <v>15</v>
      </c>
      <c r="B23" s="11" t="s">
        <v>41</v>
      </c>
      <c r="C23" s="10" t="s">
        <v>27</v>
      </c>
      <c r="D23" s="12" t="n">
        <v>46335</v>
      </c>
      <c r="E23" s="12" t="n">
        <v>46348</v>
      </c>
      <c r="F23" s="10" t="n">
        <f aca="false">E23-D23+1</f>
        <v>14</v>
      </c>
      <c r="G23" s="10" t="s">
        <v>42</v>
      </c>
      <c r="H23" s="10"/>
      <c r="I23" s="13" t="str">
        <f aca="false">IF(AND($D23&lt;&gt;"",$D23=$E23,$D23&gt;=I$5,$D23&lt;=I$5+6),"◆","")</f>
        <v/>
      </c>
      <c r="J23" s="13" t="str">
        <f aca="false">IF(AND($D23&lt;&gt;"",$D23=$E23,$D23&gt;=J$5,$D23&lt;=J$5+6),"◆","")</f>
        <v/>
      </c>
      <c r="K23" s="13" t="str">
        <f aca="false">IF(AND($D23&lt;&gt;"",$D23=$E23,$D23&gt;=K$5,$D23&lt;=K$5+6),"◆","")</f>
        <v/>
      </c>
      <c r="L23" s="13" t="str">
        <f aca="false">IF(AND($D23&lt;&gt;"",$D23=$E23,$D23&gt;=L$5,$D23&lt;=L$5+6),"◆","")</f>
        <v/>
      </c>
      <c r="M23" s="13" t="str">
        <f aca="false">IF(AND($D23&lt;&gt;"",$D23=$E23,$D23&gt;=M$5,$D23&lt;=M$5+6),"◆","")</f>
        <v/>
      </c>
      <c r="N23" s="13" t="str">
        <f aca="false">IF(AND($D23&lt;&gt;"",$D23=$E23,$D23&gt;=N$5,$D23&lt;=N$5+6),"◆","")</f>
        <v/>
      </c>
      <c r="O23" s="13" t="str">
        <f aca="false">IF(AND($D23&lt;&gt;"",$D23=$E23,$D23&gt;=O$5,$D23&lt;=O$5+6),"◆","")</f>
        <v/>
      </c>
      <c r="P23" s="13" t="str">
        <f aca="false">IF(AND($D23&lt;&gt;"",$D23=$E23,$D23&gt;=P$5,$D23&lt;=P$5+6),"◆","")</f>
        <v/>
      </c>
      <c r="Q23" s="13" t="str">
        <f aca="false">IF(AND($D23&lt;&gt;"",$D23=$E23,$D23&gt;=Q$5,$D23&lt;=Q$5+6),"◆","")</f>
        <v/>
      </c>
      <c r="R23" s="13" t="str">
        <f aca="false">IF(AND($D23&lt;&gt;"",$D23=$E23,$D23&gt;=R$5,$D23&lt;=R$5+6),"◆","")</f>
        <v/>
      </c>
      <c r="S23" s="13" t="str">
        <f aca="false">IF(AND($D23&lt;&gt;"",$D23=$E23,$D23&gt;=S$5,$D23&lt;=S$5+6),"◆","")</f>
        <v/>
      </c>
      <c r="T23" s="13" t="str">
        <f aca="false">IF(AND($D23&lt;&gt;"",$D23=$E23,$D23&gt;=T$5,$D23&lt;=T$5+6),"◆","")</f>
        <v/>
      </c>
      <c r="U23" s="13" t="str">
        <f aca="false">IF(AND($D23&lt;&gt;"",$D23=$E23,$D23&gt;=U$5,$D23&lt;=U$5+6),"◆","")</f>
        <v/>
      </c>
      <c r="V23" s="13" t="str">
        <f aca="false">IF(AND($D23&lt;&gt;"",$D23=$E23,$D23&gt;=V$5,$D23&lt;=V$5+6),"◆","")</f>
        <v/>
      </c>
      <c r="W23" s="13" t="str">
        <f aca="false">IF(AND($D23&lt;&gt;"",$D23=$E23,$D23&gt;=W$5,$D23&lt;=W$5+6),"◆","")</f>
        <v/>
      </c>
      <c r="X23" s="13" t="str">
        <f aca="false">IF(AND($D23&lt;&gt;"",$D23=$E23,$D23&gt;=X$5,$D23&lt;=EOMONTH(X$5,0)),"◆","")</f>
        <v/>
      </c>
      <c r="Y23" s="13" t="str">
        <f aca="false">IF(AND($D23&lt;&gt;"",$D23=$E23,$D23&gt;=Y$5,$D23&lt;=EOMONTH(Y$5,0)),"◆","")</f>
        <v/>
      </c>
      <c r="Z23" s="13" t="str">
        <f aca="false">IF(AND($D23&lt;&gt;"",$D23=$E23,$D23&gt;=Z$5,$D23&lt;=EOMONTH(Z$5,0)),"◆","")</f>
        <v/>
      </c>
      <c r="AA23" s="13" t="str">
        <f aca="false">IF(AND($D23&lt;&gt;"",$D23=$E23,$D23&gt;=AA$5,$D23&lt;=EOMONTH(AA$5,0)),"◆","")</f>
        <v/>
      </c>
      <c r="AB23" s="13" t="str">
        <f aca="false">IF(AND($D23&lt;&gt;"",$D23=$E23,$D23&gt;=AB$5,$D23&lt;=EOMONTH(AB$5,0)),"◆","")</f>
        <v/>
      </c>
    </row>
    <row r="24" customFormat="false" ht="15" hidden="false" customHeight="false" outlineLevel="0" collapsed="false">
      <c r="A24" s="10" t="n">
        <v>16</v>
      </c>
      <c r="B24" s="11" t="s">
        <v>43</v>
      </c>
      <c r="C24" s="10" t="s">
        <v>27</v>
      </c>
      <c r="D24" s="12" t="n">
        <v>46342</v>
      </c>
      <c r="E24" s="12" t="n">
        <v>46355</v>
      </c>
      <c r="F24" s="10" t="n">
        <f aca="false">E24-D24+1</f>
        <v>14</v>
      </c>
      <c r="G24" s="10" t="s">
        <v>44</v>
      </c>
      <c r="H24" s="10"/>
      <c r="I24" s="13" t="str">
        <f aca="false">IF(AND($D24&lt;&gt;"",$D24=$E24,$D24&gt;=I$5,$D24&lt;=I$5+6),"◆","")</f>
        <v/>
      </c>
      <c r="J24" s="13" t="str">
        <f aca="false">IF(AND($D24&lt;&gt;"",$D24=$E24,$D24&gt;=J$5,$D24&lt;=J$5+6),"◆","")</f>
        <v/>
      </c>
      <c r="K24" s="13" t="str">
        <f aca="false">IF(AND($D24&lt;&gt;"",$D24=$E24,$D24&gt;=K$5,$D24&lt;=K$5+6),"◆","")</f>
        <v/>
      </c>
      <c r="L24" s="13" t="str">
        <f aca="false">IF(AND($D24&lt;&gt;"",$D24=$E24,$D24&gt;=L$5,$D24&lt;=L$5+6),"◆","")</f>
        <v/>
      </c>
      <c r="M24" s="13" t="str">
        <f aca="false">IF(AND($D24&lt;&gt;"",$D24=$E24,$D24&gt;=M$5,$D24&lt;=M$5+6),"◆","")</f>
        <v/>
      </c>
      <c r="N24" s="13" t="str">
        <f aca="false">IF(AND($D24&lt;&gt;"",$D24=$E24,$D24&gt;=N$5,$D24&lt;=N$5+6),"◆","")</f>
        <v/>
      </c>
      <c r="O24" s="13" t="str">
        <f aca="false">IF(AND($D24&lt;&gt;"",$D24=$E24,$D24&gt;=O$5,$D24&lt;=O$5+6),"◆","")</f>
        <v/>
      </c>
      <c r="P24" s="13" t="str">
        <f aca="false">IF(AND($D24&lt;&gt;"",$D24=$E24,$D24&gt;=P$5,$D24&lt;=P$5+6),"◆","")</f>
        <v/>
      </c>
      <c r="Q24" s="13" t="str">
        <f aca="false">IF(AND($D24&lt;&gt;"",$D24=$E24,$D24&gt;=Q$5,$D24&lt;=Q$5+6),"◆","")</f>
        <v/>
      </c>
      <c r="R24" s="13" t="str">
        <f aca="false">IF(AND($D24&lt;&gt;"",$D24=$E24,$D24&gt;=R$5,$D24&lt;=R$5+6),"◆","")</f>
        <v/>
      </c>
      <c r="S24" s="13" t="str">
        <f aca="false">IF(AND($D24&lt;&gt;"",$D24=$E24,$D24&gt;=S$5,$D24&lt;=S$5+6),"◆","")</f>
        <v/>
      </c>
      <c r="T24" s="13" t="str">
        <f aca="false">IF(AND($D24&lt;&gt;"",$D24=$E24,$D24&gt;=T$5,$D24&lt;=T$5+6),"◆","")</f>
        <v/>
      </c>
      <c r="U24" s="13" t="str">
        <f aca="false">IF(AND($D24&lt;&gt;"",$D24=$E24,$D24&gt;=U$5,$D24&lt;=U$5+6),"◆","")</f>
        <v/>
      </c>
      <c r="V24" s="13" t="str">
        <f aca="false">IF(AND($D24&lt;&gt;"",$D24=$E24,$D24&gt;=V$5,$D24&lt;=V$5+6),"◆","")</f>
        <v/>
      </c>
      <c r="W24" s="13" t="str">
        <f aca="false">IF(AND($D24&lt;&gt;"",$D24=$E24,$D24&gt;=W$5,$D24&lt;=W$5+6),"◆","")</f>
        <v/>
      </c>
      <c r="X24" s="13" t="str">
        <f aca="false">IF(AND($D24&lt;&gt;"",$D24=$E24,$D24&gt;=X$5,$D24&lt;=EOMONTH(X$5,0)),"◆","")</f>
        <v/>
      </c>
      <c r="Y24" s="13" t="str">
        <f aca="false">IF(AND($D24&lt;&gt;"",$D24=$E24,$D24&gt;=Y$5,$D24&lt;=EOMONTH(Y$5,0)),"◆","")</f>
        <v/>
      </c>
      <c r="Z24" s="13" t="str">
        <f aca="false">IF(AND($D24&lt;&gt;"",$D24=$E24,$D24&gt;=Z$5,$D24&lt;=EOMONTH(Z$5,0)),"◆","")</f>
        <v/>
      </c>
      <c r="AA24" s="13" t="str">
        <f aca="false">IF(AND($D24&lt;&gt;"",$D24=$E24,$D24&gt;=AA$5,$D24&lt;=EOMONTH(AA$5,0)),"◆","")</f>
        <v/>
      </c>
      <c r="AB24" s="13" t="str">
        <f aca="false">IF(AND($D24&lt;&gt;"",$D24=$E24,$D24&gt;=AB$5,$D24&lt;=EOMONTH(AB$5,0)),"◆","")</f>
        <v/>
      </c>
    </row>
    <row r="25" customFormat="false" ht="15" hidden="false" customHeight="false" outlineLevel="0" collapsed="false">
      <c r="A25" s="10" t="n">
        <v>17</v>
      </c>
      <c r="B25" s="11" t="s">
        <v>45</v>
      </c>
      <c r="C25" s="10" t="s">
        <v>27</v>
      </c>
      <c r="D25" s="12" t="n">
        <v>46307</v>
      </c>
      <c r="E25" s="12" t="n">
        <v>46348</v>
      </c>
      <c r="F25" s="10" t="n">
        <f aca="false">E25-D25+1</f>
        <v>42</v>
      </c>
      <c r="G25" s="10" t="s">
        <v>46</v>
      </c>
      <c r="H25" s="10"/>
      <c r="I25" s="13" t="str">
        <f aca="false">IF(AND($D25&lt;&gt;"",$D25=$E25,$D25&gt;=I$5,$D25&lt;=I$5+6),"◆","")</f>
        <v/>
      </c>
      <c r="J25" s="13" t="str">
        <f aca="false">IF(AND($D25&lt;&gt;"",$D25=$E25,$D25&gt;=J$5,$D25&lt;=J$5+6),"◆","")</f>
        <v/>
      </c>
      <c r="K25" s="13" t="str">
        <f aca="false">IF(AND($D25&lt;&gt;"",$D25=$E25,$D25&gt;=K$5,$D25&lt;=K$5+6),"◆","")</f>
        <v/>
      </c>
      <c r="L25" s="13" t="str">
        <f aca="false">IF(AND($D25&lt;&gt;"",$D25=$E25,$D25&gt;=L$5,$D25&lt;=L$5+6),"◆","")</f>
        <v/>
      </c>
      <c r="M25" s="13" t="str">
        <f aca="false">IF(AND($D25&lt;&gt;"",$D25=$E25,$D25&gt;=M$5,$D25&lt;=M$5+6),"◆","")</f>
        <v/>
      </c>
      <c r="N25" s="13" t="str">
        <f aca="false">IF(AND($D25&lt;&gt;"",$D25=$E25,$D25&gt;=N$5,$D25&lt;=N$5+6),"◆","")</f>
        <v/>
      </c>
      <c r="O25" s="13" t="str">
        <f aca="false">IF(AND($D25&lt;&gt;"",$D25=$E25,$D25&gt;=O$5,$D25&lt;=O$5+6),"◆","")</f>
        <v/>
      </c>
      <c r="P25" s="13" t="str">
        <f aca="false">IF(AND($D25&lt;&gt;"",$D25=$E25,$D25&gt;=P$5,$D25&lt;=P$5+6),"◆","")</f>
        <v/>
      </c>
      <c r="Q25" s="13" t="str">
        <f aca="false">IF(AND($D25&lt;&gt;"",$D25=$E25,$D25&gt;=Q$5,$D25&lt;=Q$5+6),"◆","")</f>
        <v/>
      </c>
      <c r="R25" s="13" t="str">
        <f aca="false">IF(AND($D25&lt;&gt;"",$D25=$E25,$D25&gt;=R$5,$D25&lt;=R$5+6),"◆","")</f>
        <v/>
      </c>
      <c r="S25" s="13" t="str">
        <f aca="false">IF(AND($D25&lt;&gt;"",$D25=$E25,$D25&gt;=S$5,$D25&lt;=S$5+6),"◆","")</f>
        <v/>
      </c>
      <c r="T25" s="13" t="str">
        <f aca="false">IF(AND($D25&lt;&gt;"",$D25=$E25,$D25&gt;=T$5,$D25&lt;=T$5+6),"◆","")</f>
        <v/>
      </c>
      <c r="U25" s="13" t="str">
        <f aca="false">IF(AND($D25&lt;&gt;"",$D25=$E25,$D25&gt;=U$5,$D25&lt;=U$5+6),"◆","")</f>
        <v/>
      </c>
      <c r="V25" s="13" t="str">
        <f aca="false">IF(AND($D25&lt;&gt;"",$D25=$E25,$D25&gt;=V$5,$D25&lt;=V$5+6),"◆","")</f>
        <v/>
      </c>
      <c r="W25" s="13" t="str">
        <f aca="false">IF(AND($D25&lt;&gt;"",$D25=$E25,$D25&gt;=W$5,$D25&lt;=W$5+6),"◆","")</f>
        <v/>
      </c>
      <c r="X25" s="13" t="str">
        <f aca="false">IF(AND($D25&lt;&gt;"",$D25=$E25,$D25&gt;=X$5,$D25&lt;=EOMONTH(X$5,0)),"◆","")</f>
        <v/>
      </c>
      <c r="Y25" s="13" t="str">
        <f aca="false">IF(AND($D25&lt;&gt;"",$D25=$E25,$D25&gt;=Y$5,$D25&lt;=EOMONTH(Y$5,0)),"◆","")</f>
        <v/>
      </c>
      <c r="Z25" s="13" t="str">
        <f aca="false">IF(AND($D25&lt;&gt;"",$D25=$E25,$D25&gt;=Z$5,$D25&lt;=EOMONTH(Z$5,0)),"◆","")</f>
        <v/>
      </c>
      <c r="AA25" s="13" t="str">
        <f aca="false">IF(AND($D25&lt;&gt;"",$D25=$E25,$D25&gt;=AA$5,$D25&lt;=EOMONTH(AA$5,0)),"◆","")</f>
        <v/>
      </c>
      <c r="AB25" s="13" t="str">
        <f aca="false">IF(AND($D25&lt;&gt;"",$D25=$E25,$D25&gt;=AB$5,$D25&lt;=EOMONTH(AB$5,0)),"◆","")</f>
        <v/>
      </c>
    </row>
    <row r="26" customFormat="false" ht="15" hidden="false" customHeight="false" outlineLevel="0" collapsed="false">
      <c r="A26" s="8" t="s">
        <v>47</v>
      </c>
      <c r="B26" s="8"/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customFormat="false" ht="15" hidden="false" customHeight="false" outlineLevel="0" collapsed="false">
      <c r="A27" s="10" t="n">
        <v>18</v>
      </c>
      <c r="B27" s="11" t="s">
        <v>48</v>
      </c>
      <c r="C27" s="10" t="s">
        <v>19</v>
      </c>
      <c r="D27" s="12" t="n">
        <v>46286</v>
      </c>
      <c r="E27" s="12" t="n">
        <v>46362</v>
      </c>
      <c r="F27" s="10" t="n">
        <f aca="false">E27-D27+1</f>
        <v>77</v>
      </c>
      <c r="G27" s="10"/>
      <c r="H27" s="10"/>
      <c r="I27" s="13" t="str">
        <f aca="false">IF(AND($D27&lt;&gt;"",$D27=$E27,$D27&gt;=I$5,$D27&lt;=I$5+6),"◆","")</f>
        <v/>
      </c>
      <c r="J27" s="13" t="str">
        <f aca="false">IF(AND($D27&lt;&gt;"",$D27=$E27,$D27&gt;=J$5,$D27&lt;=J$5+6),"◆","")</f>
        <v/>
      </c>
      <c r="K27" s="13" t="str">
        <f aca="false">IF(AND($D27&lt;&gt;"",$D27=$E27,$D27&gt;=K$5,$D27&lt;=K$5+6),"◆","")</f>
        <v/>
      </c>
      <c r="L27" s="13" t="str">
        <f aca="false">IF(AND($D27&lt;&gt;"",$D27=$E27,$D27&gt;=L$5,$D27&lt;=L$5+6),"◆","")</f>
        <v/>
      </c>
      <c r="M27" s="13" t="str">
        <f aca="false">IF(AND($D27&lt;&gt;"",$D27=$E27,$D27&gt;=M$5,$D27&lt;=M$5+6),"◆","")</f>
        <v/>
      </c>
      <c r="N27" s="13" t="str">
        <f aca="false">IF(AND($D27&lt;&gt;"",$D27=$E27,$D27&gt;=N$5,$D27&lt;=N$5+6),"◆","")</f>
        <v/>
      </c>
      <c r="O27" s="13" t="str">
        <f aca="false">IF(AND($D27&lt;&gt;"",$D27=$E27,$D27&gt;=O$5,$D27&lt;=O$5+6),"◆","")</f>
        <v/>
      </c>
      <c r="P27" s="13" t="str">
        <f aca="false">IF(AND($D27&lt;&gt;"",$D27=$E27,$D27&gt;=P$5,$D27&lt;=P$5+6),"◆","")</f>
        <v/>
      </c>
      <c r="Q27" s="13" t="str">
        <f aca="false">IF(AND($D27&lt;&gt;"",$D27=$E27,$D27&gt;=Q$5,$D27&lt;=Q$5+6),"◆","")</f>
        <v/>
      </c>
      <c r="R27" s="13" t="str">
        <f aca="false">IF(AND($D27&lt;&gt;"",$D27=$E27,$D27&gt;=R$5,$D27&lt;=R$5+6),"◆","")</f>
        <v/>
      </c>
      <c r="S27" s="13" t="str">
        <f aca="false">IF(AND($D27&lt;&gt;"",$D27=$E27,$D27&gt;=S$5,$D27&lt;=S$5+6),"◆","")</f>
        <v/>
      </c>
      <c r="T27" s="13" t="str">
        <f aca="false">IF(AND($D27&lt;&gt;"",$D27=$E27,$D27&gt;=T$5,$D27&lt;=T$5+6),"◆","")</f>
        <v/>
      </c>
      <c r="U27" s="13" t="str">
        <f aca="false">IF(AND($D27&lt;&gt;"",$D27=$E27,$D27&gt;=U$5,$D27&lt;=U$5+6),"◆","")</f>
        <v/>
      </c>
      <c r="V27" s="13" t="str">
        <f aca="false">IF(AND($D27&lt;&gt;"",$D27=$E27,$D27&gt;=V$5,$D27&lt;=V$5+6),"◆","")</f>
        <v/>
      </c>
      <c r="W27" s="13" t="str">
        <f aca="false">IF(AND($D27&lt;&gt;"",$D27=$E27,$D27&gt;=W$5,$D27&lt;=W$5+6),"◆","")</f>
        <v/>
      </c>
      <c r="X27" s="13" t="str">
        <f aca="false">IF(AND($D27&lt;&gt;"",$D27=$E27,$D27&gt;=X$5,$D27&lt;=EOMONTH(X$5,0)),"◆","")</f>
        <v/>
      </c>
      <c r="Y27" s="13" t="str">
        <f aca="false">IF(AND($D27&lt;&gt;"",$D27=$E27,$D27&gt;=Y$5,$D27&lt;=EOMONTH(Y$5,0)),"◆","")</f>
        <v/>
      </c>
      <c r="Z27" s="13" t="str">
        <f aca="false">IF(AND($D27&lt;&gt;"",$D27=$E27,$D27&gt;=Z$5,$D27&lt;=EOMONTH(Z$5,0)),"◆","")</f>
        <v/>
      </c>
      <c r="AA27" s="13" t="str">
        <f aca="false">IF(AND($D27&lt;&gt;"",$D27=$E27,$D27&gt;=AA$5,$D27&lt;=EOMONTH(AA$5,0)),"◆","")</f>
        <v/>
      </c>
      <c r="AB27" s="13" t="str">
        <f aca="false">IF(AND($D27&lt;&gt;"",$D27=$E27,$D27&gt;=AB$5,$D27&lt;=EOMONTH(AB$5,0)),"◆","")</f>
        <v/>
      </c>
    </row>
    <row r="28" customFormat="false" ht="15" hidden="false" customHeight="false" outlineLevel="0" collapsed="false">
      <c r="A28" s="10" t="n">
        <v>19</v>
      </c>
      <c r="B28" s="11" t="s">
        <v>49</v>
      </c>
      <c r="C28" s="10" t="s">
        <v>27</v>
      </c>
      <c r="D28" s="12" t="n">
        <v>46342</v>
      </c>
      <c r="E28" s="12" t="n">
        <v>46362</v>
      </c>
      <c r="F28" s="10" t="n">
        <f aca="false">E28-D28+1</f>
        <v>21</v>
      </c>
      <c r="G28" s="10" t="s">
        <v>50</v>
      </c>
      <c r="H28" s="10"/>
      <c r="I28" s="13" t="str">
        <f aca="false">IF(AND($D28&lt;&gt;"",$D28=$E28,$D28&gt;=I$5,$D28&lt;=I$5+6),"◆","")</f>
        <v/>
      </c>
      <c r="J28" s="13" t="str">
        <f aca="false">IF(AND($D28&lt;&gt;"",$D28=$E28,$D28&gt;=J$5,$D28&lt;=J$5+6),"◆","")</f>
        <v/>
      </c>
      <c r="K28" s="13" t="str">
        <f aca="false">IF(AND($D28&lt;&gt;"",$D28=$E28,$D28&gt;=K$5,$D28&lt;=K$5+6),"◆","")</f>
        <v/>
      </c>
      <c r="L28" s="13" t="str">
        <f aca="false">IF(AND($D28&lt;&gt;"",$D28=$E28,$D28&gt;=L$5,$D28&lt;=L$5+6),"◆","")</f>
        <v/>
      </c>
      <c r="M28" s="13" t="str">
        <f aca="false">IF(AND($D28&lt;&gt;"",$D28=$E28,$D28&gt;=M$5,$D28&lt;=M$5+6),"◆","")</f>
        <v/>
      </c>
      <c r="N28" s="13" t="str">
        <f aca="false">IF(AND($D28&lt;&gt;"",$D28=$E28,$D28&gt;=N$5,$D28&lt;=N$5+6),"◆","")</f>
        <v/>
      </c>
      <c r="O28" s="13" t="str">
        <f aca="false">IF(AND($D28&lt;&gt;"",$D28=$E28,$D28&gt;=O$5,$D28&lt;=O$5+6),"◆","")</f>
        <v/>
      </c>
      <c r="P28" s="13" t="str">
        <f aca="false">IF(AND($D28&lt;&gt;"",$D28=$E28,$D28&gt;=P$5,$D28&lt;=P$5+6),"◆","")</f>
        <v/>
      </c>
      <c r="Q28" s="13" t="str">
        <f aca="false">IF(AND($D28&lt;&gt;"",$D28=$E28,$D28&gt;=Q$5,$D28&lt;=Q$5+6),"◆","")</f>
        <v/>
      </c>
      <c r="R28" s="13" t="str">
        <f aca="false">IF(AND($D28&lt;&gt;"",$D28=$E28,$D28&gt;=R$5,$D28&lt;=R$5+6),"◆","")</f>
        <v/>
      </c>
      <c r="S28" s="13" t="str">
        <f aca="false">IF(AND($D28&lt;&gt;"",$D28=$E28,$D28&gt;=S$5,$D28&lt;=S$5+6),"◆","")</f>
        <v/>
      </c>
      <c r="T28" s="13" t="str">
        <f aca="false">IF(AND($D28&lt;&gt;"",$D28=$E28,$D28&gt;=T$5,$D28&lt;=T$5+6),"◆","")</f>
        <v/>
      </c>
      <c r="U28" s="13" t="str">
        <f aca="false">IF(AND($D28&lt;&gt;"",$D28=$E28,$D28&gt;=U$5,$D28&lt;=U$5+6),"◆","")</f>
        <v/>
      </c>
      <c r="V28" s="13" t="str">
        <f aca="false">IF(AND($D28&lt;&gt;"",$D28=$E28,$D28&gt;=V$5,$D28&lt;=V$5+6),"◆","")</f>
        <v/>
      </c>
      <c r="W28" s="13" t="str">
        <f aca="false">IF(AND($D28&lt;&gt;"",$D28=$E28,$D28&gt;=W$5,$D28&lt;=W$5+6),"◆","")</f>
        <v/>
      </c>
      <c r="X28" s="13" t="str">
        <f aca="false">IF(AND($D28&lt;&gt;"",$D28=$E28,$D28&gt;=X$5,$D28&lt;=EOMONTH(X$5,0)),"◆","")</f>
        <v/>
      </c>
      <c r="Y28" s="13" t="str">
        <f aca="false">IF(AND($D28&lt;&gt;"",$D28=$E28,$D28&gt;=Y$5,$D28&lt;=EOMONTH(Y$5,0)),"◆","")</f>
        <v/>
      </c>
      <c r="Z28" s="13" t="str">
        <f aca="false">IF(AND($D28&lt;&gt;"",$D28=$E28,$D28&gt;=Z$5,$D28&lt;=EOMONTH(Z$5,0)),"◆","")</f>
        <v/>
      </c>
      <c r="AA28" s="13" t="str">
        <f aca="false">IF(AND($D28&lt;&gt;"",$D28=$E28,$D28&gt;=AA$5,$D28&lt;=EOMONTH(AA$5,0)),"◆","")</f>
        <v/>
      </c>
      <c r="AB28" s="13" t="str">
        <f aca="false">IF(AND($D28&lt;&gt;"",$D28=$E28,$D28&gt;=AB$5,$D28&lt;=EOMONTH(AB$5,0)),"◆","")</f>
        <v/>
      </c>
    </row>
    <row r="29" customFormat="false" ht="15" hidden="false" customHeight="false" outlineLevel="0" collapsed="false">
      <c r="A29" s="10" t="n">
        <v>20</v>
      </c>
      <c r="B29" s="11" t="s">
        <v>51</v>
      </c>
      <c r="C29" s="10" t="s">
        <v>27</v>
      </c>
      <c r="D29" s="12" t="n">
        <v>46356</v>
      </c>
      <c r="E29" s="12" t="n">
        <v>46362</v>
      </c>
      <c r="F29" s="10" t="n">
        <f aca="false">E29-D29+1</f>
        <v>7</v>
      </c>
      <c r="G29" s="10" t="s">
        <v>50</v>
      </c>
      <c r="H29" s="10"/>
      <c r="I29" s="13" t="str">
        <f aca="false">IF(AND($D29&lt;&gt;"",$D29=$E29,$D29&gt;=I$5,$D29&lt;=I$5+6),"◆","")</f>
        <v/>
      </c>
      <c r="J29" s="13" t="str">
        <f aca="false">IF(AND($D29&lt;&gt;"",$D29=$E29,$D29&gt;=J$5,$D29&lt;=J$5+6),"◆","")</f>
        <v/>
      </c>
      <c r="K29" s="13" t="str">
        <f aca="false">IF(AND($D29&lt;&gt;"",$D29=$E29,$D29&gt;=K$5,$D29&lt;=K$5+6),"◆","")</f>
        <v/>
      </c>
      <c r="L29" s="13" t="str">
        <f aca="false">IF(AND($D29&lt;&gt;"",$D29=$E29,$D29&gt;=L$5,$D29&lt;=L$5+6),"◆","")</f>
        <v/>
      </c>
      <c r="M29" s="13" t="str">
        <f aca="false">IF(AND($D29&lt;&gt;"",$D29=$E29,$D29&gt;=M$5,$D29&lt;=M$5+6),"◆","")</f>
        <v/>
      </c>
      <c r="N29" s="13" t="str">
        <f aca="false">IF(AND($D29&lt;&gt;"",$D29=$E29,$D29&gt;=N$5,$D29&lt;=N$5+6),"◆","")</f>
        <v/>
      </c>
      <c r="O29" s="13" t="str">
        <f aca="false">IF(AND($D29&lt;&gt;"",$D29=$E29,$D29&gt;=O$5,$D29&lt;=O$5+6),"◆","")</f>
        <v/>
      </c>
      <c r="P29" s="13" t="str">
        <f aca="false">IF(AND($D29&lt;&gt;"",$D29=$E29,$D29&gt;=P$5,$D29&lt;=P$5+6),"◆","")</f>
        <v/>
      </c>
      <c r="Q29" s="13" t="str">
        <f aca="false">IF(AND($D29&lt;&gt;"",$D29=$E29,$D29&gt;=Q$5,$D29&lt;=Q$5+6),"◆","")</f>
        <v/>
      </c>
      <c r="R29" s="13" t="str">
        <f aca="false">IF(AND($D29&lt;&gt;"",$D29=$E29,$D29&gt;=R$5,$D29&lt;=R$5+6),"◆","")</f>
        <v/>
      </c>
      <c r="S29" s="13" t="str">
        <f aca="false">IF(AND($D29&lt;&gt;"",$D29=$E29,$D29&gt;=S$5,$D29&lt;=S$5+6),"◆","")</f>
        <v/>
      </c>
      <c r="T29" s="13" t="str">
        <f aca="false">IF(AND($D29&lt;&gt;"",$D29=$E29,$D29&gt;=T$5,$D29&lt;=T$5+6),"◆","")</f>
        <v/>
      </c>
      <c r="U29" s="13" t="str">
        <f aca="false">IF(AND($D29&lt;&gt;"",$D29=$E29,$D29&gt;=U$5,$D29&lt;=U$5+6),"◆","")</f>
        <v/>
      </c>
      <c r="V29" s="13" t="str">
        <f aca="false">IF(AND($D29&lt;&gt;"",$D29=$E29,$D29&gt;=V$5,$D29&lt;=V$5+6),"◆","")</f>
        <v/>
      </c>
      <c r="W29" s="13" t="str">
        <f aca="false">IF(AND($D29&lt;&gt;"",$D29=$E29,$D29&gt;=W$5,$D29&lt;=W$5+6),"◆","")</f>
        <v/>
      </c>
      <c r="X29" s="13" t="str">
        <f aca="false">IF(AND($D29&lt;&gt;"",$D29=$E29,$D29&gt;=X$5,$D29&lt;=EOMONTH(X$5,0)),"◆","")</f>
        <v/>
      </c>
      <c r="Y29" s="13" t="str">
        <f aca="false">IF(AND($D29&lt;&gt;"",$D29=$E29,$D29&gt;=Y$5,$D29&lt;=EOMONTH(Y$5,0)),"◆","")</f>
        <v/>
      </c>
      <c r="Z29" s="13" t="str">
        <f aca="false">IF(AND($D29&lt;&gt;"",$D29=$E29,$D29&gt;=Z$5,$D29&lt;=EOMONTH(Z$5,0)),"◆","")</f>
        <v/>
      </c>
      <c r="AA29" s="13" t="str">
        <f aca="false">IF(AND($D29&lt;&gt;"",$D29=$E29,$D29&gt;=AA$5,$D29&lt;=EOMONTH(AA$5,0)),"◆","")</f>
        <v/>
      </c>
      <c r="AB29" s="13" t="str">
        <f aca="false">IF(AND($D29&lt;&gt;"",$D29=$E29,$D29&gt;=AB$5,$D29&lt;=EOMONTH(AB$5,0)),"◆","")</f>
        <v/>
      </c>
    </row>
    <row r="30" customFormat="false" ht="15" hidden="false" customHeight="false" outlineLevel="0" collapsed="false">
      <c r="A30" s="14" t="n">
        <v>21</v>
      </c>
      <c r="B30" s="15" t="s">
        <v>52</v>
      </c>
      <c r="C30" s="14" t="s">
        <v>27</v>
      </c>
      <c r="D30" s="16" t="n">
        <v>46367</v>
      </c>
      <c r="E30" s="16" t="n">
        <v>46367</v>
      </c>
      <c r="F30" s="14" t="n">
        <f aca="false">E30-D30+1</f>
        <v>1</v>
      </c>
      <c r="G30" s="14" t="s">
        <v>53</v>
      </c>
      <c r="H30" s="14"/>
      <c r="I30" s="13" t="str">
        <f aca="false">IF(AND($D30&lt;&gt;"",$D30=$E30,$D30&gt;=I$5,$D30&lt;=I$5+6),"◆","")</f>
        <v/>
      </c>
      <c r="J30" s="13" t="str">
        <f aca="false">IF(AND($D30&lt;&gt;"",$D30=$E30,$D30&gt;=J$5,$D30&lt;=J$5+6),"◆","")</f>
        <v/>
      </c>
      <c r="K30" s="13" t="str">
        <f aca="false">IF(AND($D30&lt;&gt;"",$D30=$E30,$D30&gt;=K$5,$D30&lt;=K$5+6),"◆","")</f>
        <v/>
      </c>
      <c r="L30" s="13" t="str">
        <f aca="false">IF(AND($D30&lt;&gt;"",$D30=$E30,$D30&gt;=L$5,$D30&lt;=L$5+6),"◆","")</f>
        <v/>
      </c>
      <c r="M30" s="13" t="str">
        <f aca="false">IF(AND($D30&lt;&gt;"",$D30=$E30,$D30&gt;=M$5,$D30&lt;=M$5+6),"◆","")</f>
        <v/>
      </c>
      <c r="N30" s="13" t="str">
        <f aca="false">IF(AND($D30&lt;&gt;"",$D30=$E30,$D30&gt;=N$5,$D30&lt;=N$5+6),"◆","")</f>
        <v/>
      </c>
      <c r="O30" s="13" t="str">
        <f aca="false">IF(AND($D30&lt;&gt;"",$D30=$E30,$D30&gt;=O$5,$D30&lt;=O$5+6),"◆","")</f>
        <v/>
      </c>
      <c r="P30" s="13" t="str">
        <f aca="false">IF(AND($D30&lt;&gt;"",$D30=$E30,$D30&gt;=P$5,$D30&lt;=P$5+6),"◆","")</f>
        <v/>
      </c>
      <c r="Q30" s="13" t="str">
        <f aca="false">IF(AND($D30&lt;&gt;"",$D30=$E30,$D30&gt;=Q$5,$D30&lt;=Q$5+6),"◆","")</f>
        <v/>
      </c>
      <c r="R30" s="13" t="str">
        <f aca="false">IF(AND($D30&lt;&gt;"",$D30=$E30,$D30&gt;=R$5,$D30&lt;=R$5+6),"◆","")</f>
        <v/>
      </c>
      <c r="S30" s="13" t="str">
        <f aca="false">IF(AND($D30&lt;&gt;"",$D30=$E30,$D30&gt;=S$5,$D30&lt;=S$5+6),"◆","")</f>
        <v/>
      </c>
      <c r="T30" s="13" t="str">
        <f aca="false">IF(AND($D30&lt;&gt;"",$D30=$E30,$D30&gt;=T$5,$D30&lt;=T$5+6),"◆","")</f>
        <v/>
      </c>
      <c r="U30" s="13" t="str">
        <f aca="false">IF(AND($D30&lt;&gt;"",$D30=$E30,$D30&gt;=U$5,$D30&lt;=U$5+6),"◆","")</f>
        <v/>
      </c>
      <c r="V30" s="13" t="str">
        <f aca="false">IF(AND($D30&lt;&gt;"",$D30=$E30,$D30&gt;=V$5,$D30&lt;=V$5+6),"◆","")</f>
        <v/>
      </c>
      <c r="W30" s="13" t="str">
        <f aca="false">IF(AND($D30&lt;&gt;"",$D30=$E30,$D30&gt;=W$5,$D30&lt;=W$5+6),"◆","")</f>
        <v>◆</v>
      </c>
      <c r="X30" s="13" t="str">
        <f aca="false">IF(AND($D30&lt;&gt;"",$D30=$E30,$D30&gt;=X$5,$D30&lt;=EOMONTH(X$5,0)),"◆","")</f>
        <v/>
      </c>
      <c r="Y30" s="13" t="str">
        <f aca="false">IF(AND($D30&lt;&gt;"",$D30=$E30,$D30&gt;=Y$5,$D30&lt;=EOMONTH(Y$5,0)),"◆","")</f>
        <v/>
      </c>
      <c r="Z30" s="13" t="str">
        <f aca="false">IF(AND($D30&lt;&gt;"",$D30=$E30,$D30&gt;=Z$5,$D30&lt;=EOMONTH(Z$5,0)),"◆","")</f>
        <v/>
      </c>
      <c r="AA30" s="13" t="str">
        <f aca="false">IF(AND($D30&lt;&gt;"",$D30=$E30,$D30&gt;=AA$5,$D30&lt;=EOMONTH(AA$5,0)),"◆","")</f>
        <v/>
      </c>
      <c r="AB30" s="13" t="str">
        <f aca="false">IF(AND($D30&lt;&gt;"",$D30=$E30,$D30&gt;=AB$5,$D30&lt;=EOMONTH(AB$5,0)),"◆","")</f>
        <v/>
      </c>
    </row>
    <row r="31" customFormat="false" ht="15" hidden="false" customHeight="fals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customFormat="false" ht="15" hidden="false" customHeight="false" outlineLevel="0" collapsed="false">
      <c r="A32" s="10" t="n">
        <v>22</v>
      </c>
      <c r="B32" s="11" t="s">
        <v>55</v>
      </c>
      <c r="C32" s="10" t="s">
        <v>27</v>
      </c>
      <c r="D32" s="12" t="n">
        <v>46391</v>
      </c>
      <c r="E32" s="12" t="n">
        <v>46446</v>
      </c>
      <c r="F32" s="10" t="n">
        <f aca="false">E32-D32+1</f>
        <v>56</v>
      </c>
      <c r="G32" s="10" t="s">
        <v>56</v>
      </c>
      <c r="H32" s="10"/>
      <c r="I32" s="13" t="str">
        <f aca="false">IF(AND($D32&lt;&gt;"",$D32=$E32,$D32&gt;=I$5,$D32&lt;=I$5+6),"◆","")</f>
        <v/>
      </c>
      <c r="J32" s="13" t="str">
        <f aca="false">IF(AND($D32&lt;&gt;"",$D32=$E32,$D32&gt;=J$5,$D32&lt;=J$5+6),"◆","")</f>
        <v/>
      </c>
      <c r="K32" s="13" t="str">
        <f aca="false">IF(AND($D32&lt;&gt;"",$D32=$E32,$D32&gt;=K$5,$D32&lt;=K$5+6),"◆","")</f>
        <v/>
      </c>
      <c r="L32" s="13" t="str">
        <f aca="false">IF(AND($D32&lt;&gt;"",$D32=$E32,$D32&gt;=L$5,$D32&lt;=L$5+6),"◆","")</f>
        <v/>
      </c>
      <c r="M32" s="13" t="str">
        <f aca="false">IF(AND($D32&lt;&gt;"",$D32=$E32,$D32&gt;=M$5,$D32&lt;=M$5+6),"◆","")</f>
        <v/>
      </c>
      <c r="N32" s="13" t="str">
        <f aca="false">IF(AND($D32&lt;&gt;"",$D32=$E32,$D32&gt;=N$5,$D32&lt;=N$5+6),"◆","")</f>
        <v/>
      </c>
      <c r="O32" s="13" t="str">
        <f aca="false">IF(AND($D32&lt;&gt;"",$D32=$E32,$D32&gt;=O$5,$D32&lt;=O$5+6),"◆","")</f>
        <v/>
      </c>
      <c r="P32" s="13" t="str">
        <f aca="false">IF(AND($D32&lt;&gt;"",$D32=$E32,$D32&gt;=P$5,$D32&lt;=P$5+6),"◆","")</f>
        <v/>
      </c>
      <c r="Q32" s="13" t="str">
        <f aca="false">IF(AND($D32&lt;&gt;"",$D32=$E32,$D32&gt;=Q$5,$D32&lt;=Q$5+6),"◆","")</f>
        <v/>
      </c>
      <c r="R32" s="13" t="str">
        <f aca="false">IF(AND($D32&lt;&gt;"",$D32=$E32,$D32&gt;=R$5,$D32&lt;=R$5+6),"◆","")</f>
        <v/>
      </c>
      <c r="S32" s="13" t="str">
        <f aca="false">IF(AND($D32&lt;&gt;"",$D32=$E32,$D32&gt;=S$5,$D32&lt;=S$5+6),"◆","")</f>
        <v/>
      </c>
      <c r="T32" s="13" t="str">
        <f aca="false">IF(AND($D32&lt;&gt;"",$D32=$E32,$D32&gt;=T$5,$D32&lt;=T$5+6),"◆","")</f>
        <v/>
      </c>
      <c r="U32" s="13" t="str">
        <f aca="false">IF(AND($D32&lt;&gt;"",$D32=$E32,$D32&gt;=U$5,$D32&lt;=U$5+6),"◆","")</f>
        <v/>
      </c>
      <c r="V32" s="13" t="str">
        <f aca="false">IF(AND($D32&lt;&gt;"",$D32=$E32,$D32&gt;=V$5,$D32&lt;=V$5+6),"◆","")</f>
        <v/>
      </c>
      <c r="W32" s="13" t="str">
        <f aca="false">IF(AND($D32&lt;&gt;"",$D32=$E32,$D32&gt;=W$5,$D32&lt;=W$5+6),"◆","")</f>
        <v/>
      </c>
      <c r="X32" s="13" t="str">
        <f aca="false">IF(AND($D32&lt;&gt;"",$D32=$E32,$D32&gt;=X$5,$D32&lt;=EOMONTH(X$5,0)),"◆","")</f>
        <v/>
      </c>
      <c r="Y32" s="13" t="str">
        <f aca="false">IF(AND($D32&lt;&gt;"",$D32=$E32,$D32&gt;=Y$5,$D32&lt;=EOMONTH(Y$5,0)),"◆","")</f>
        <v/>
      </c>
      <c r="Z32" s="13" t="str">
        <f aca="false">IF(AND($D32&lt;&gt;"",$D32=$E32,$D32&gt;=Z$5,$D32&lt;=EOMONTH(Z$5,0)),"◆","")</f>
        <v/>
      </c>
      <c r="AA32" s="13" t="str">
        <f aca="false">IF(AND($D32&lt;&gt;"",$D32=$E32,$D32&gt;=AA$5,$D32&lt;=EOMONTH(AA$5,0)),"◆","")</f>
        <v/>
      </c>
      <c r="AB32" s="13" t="str">
        <f aca="false">IF(AND($D32&lt;&gt;"",$D32=$E32,$D32&gt;=AB$5,$D32&lt;=EOMONTH(AB$5,0)),"◆","")</f>
        <v/>
      </c>
    </row>
    <row r="33" customFormat="false" ht="15" hidden="false" customHeight="false" outlineLevel="0" collapsed="false">
      <c r="A33" s="10" t="n">
        <v>23</v>
      </c>
      <c r="B33" s="11" t="s">
        <v>57</v>
      </c>
      <c r="C33" s="10" t="s">
        <v>27</v>
      </c>
      <c r="D33" s="12" t="n">
        <v>46419</v>
      </c>
      <c r="E33" s="12" t="n">
        <v>46477</v>
      </c>
      <c r="F33" s="10" t="n">
        <f aca="false">E33-D33+1</f>
        <v>59</v>
      </c>
      <c r="G33" s="10" t="s">
        <v>58</v>
      </c>
      <c r="H33" s="10"/>
      <c r="I33" s="13" t="str">
        <f aca="false">IF(AND($D33&lt;&gt;"",$D33=$E33,$D33&gt;=I$5,$D33&lt;=I$5+6),"◆","")</f>
        <v/>
      </c>
      <c r="J33" s="13" t="str">
        <f aca="false">IF(AND($D33&lt;&gt;"",$D33=$E33,$D33&gt;=J$5,$D33&lt;=J$5+6),"◆","")</f>
        <v/>
      </c>
      <c r="K33" s="13" t="str">
        <f aca="false">IF(AND($D33&lt;&gt;"",$D33=$E33,$D33&gt;=K$5,$D33&lt;=K$5+6),"◆","")</f>
        <v/>
      </c>
      <c r="L33" s="13" t="str">
        <f aca="false">IF(AND($D33&lt;&gt;"",$D33=$E33,$D33&gt;=L$5,$D33&lt;=L$5+6),"◆","")</f>
        <v/>
      </c>
      <c r="M33" s="13" t="str">
        <f aca="false">IF(AND($D33&lt;&gt;"",$D33=$E33,$D33&gt;=M$5,$D33&lt;=M$5+6),"◆","")</f>
        <v/>
      </c>
      <c r="N33" s="13" t="str">
        <f aca="false">IF(AND($D33&lt;&gt;"",$D33=$E33,$D33&gt;=N$5,$D33&lt;=N$5+6),"◆","")</f>
        <v/>
      </c>
      <c r="O33" s="13" t="str">
        <f aca="false">IF(AND($D33&lt;&gt;"",$D33=$E33,$D33&gt;=O$5,$D33&lt;=O$5+6),"◆","")</f>
        <v/>
      </c>
      <c r="P33" s="13" t="str">
        <f aca="false">IF(AND($D33&lt;&gt;"",$D33=$E33,$D33&gt;=P$5,$D33&lt;=P$5+6),"◆","")</f>
        <v/>
      </c>
      <c r="Q33" s="13" t="str">
        <f aca="false">IF(AND($D33&lt;&gt;"",$D33=$E33,$D33&gt;=Q$5,$D33&lt;=Q$5+6),"◆","")</f>
        <v/>
      </c>
      <c r="R33" s="13" t="str">
        <f aca="false">IF(AND($D33&lt;&gt;"",$D33=$E33,$D33&gt;=R$5,$D33&lt;=R$5+6),"◆","")</f>
        <v/>
      </c>
      <c r="S33" s="13" t="str">
        <f aca="false">IF(AND($D33&lt;&gt;"",$D33=$E33,$D33&gt;=S$5,$D33&lt;=S$5+6),"◆","")</f>
        <v/>
      </c>
      <c r="T33" s="13" t="str">
        <f aca="false">IF(AND($D33&lt;&gt;"",$D33=$E33,$D33&gt;=T$5,$D33&lt;=T$5+6),"◆","")</f>
        <v/>
      </c>
      <c r="U33" s="13" t="str">
        <f aca="false">IF(AND($D33&lt;&gt;"",$D33=$E33,$D33&gt;=U$5,$D33&lt;=U$5+6),"◆","")</f>
        <v/>
      </c>
      <c r="V33" s="13" t="str">
        <f aca="false">IF(AND($D33&lt;&gt;"",$D33=$E33,$D33&gt;=V$5,$D33&lt;=V$5+6),"◆","")</f>
        <v/>
      </c>
      <c r="W33" s="13" t="str">
        <f aca="false">IF(AND($D33&lt;&gt;"",$D33=$E33,$D33&gt;=W$5,$D33&lt;=W$5+6),"◆","")</f>
        <v/>
      </c>
      <c r="X33" s="13" t="str">
        <f aca="false">IF(AND($D33&lt;&gt;"",$D33=$E33,$D33&gt;=X$5,$D33&lt;=EOMONTH(X$5,0)),"◆","")</f>
        <v/>
      </c>
      <c r="Y33" s="13" t="str">
        <f aca="false">IF(AND($D33&lt;&gt;"",$D33=$E33,$D33&gt;=Y$5,$D33&lt;=EOMONTH(Y$5,0)),"◆","")</f>
        <v/>
      </c>
      <c r="Z33" s="13" t="str">
        <f aca="false">IF(AND($D33&lt;&gt;"",$D33=$E33,$D33&gt;=Z$5,$D33&lt;=EOMONTH(Z$5,0)),"◆","")</f>
        <v/>
      </c>
      <c r="AA33" s="13" t="str">
        <f aca="false">IF(AND($D33&lt;&gt;"",$D33=$E33,$D33&gt;=AA$5,$D33&lt;=EOMONTH(AA$5,0)),"◆","")</f>
        <v/>
      </c>
      <c r="AB33" s="13" t="str">
        <f aca="false">IF(AND($D33&lt;&gt;"",$D33=$E33,$D33&gt;=AB$5,$D33&lt;=EOMONTH(AB$5,0)),"◆","")</f>
        <v/>
      </c>
    </row>
    <row r="34" customFormat="false" ht="15" hidden="false" customHeight="false" outlineLevel="0" collapsed="false">
      <c r="A34" s="14" t="n">
        <v>24</v>
      </c>
      <c r="B34" s="15" t="s">
        <v>59</v>
      </c>
      <c r="C34" s="14" t="s">
        <v>27</v>
      </c>
      <c r="D34" s="16" t="n">
        <v>46492</v>
      </c>
      <c r="E34" s="16" t="n">
        <v>46492</v>
      </c>
      <c r="F34" s="14" t="n">
        <f aca="false">E34-D34+1</f>
        <v>1</v>
      </c>
      <c r="G34" s="14" t="s">
        <v>60</v>
      </c>
      <c r="H34" s="14"/>
      <c r="I34" s="13" t="str">
        <f aca="false">IF(AND($D34&lt;&gt;"",$D34=$E34,$D34&gt;=I$5,$D34&lt;=I$5+6),"◆","")</f>
        <v/>
      </c>
      <c r="J34" s="13" t="str">
        <f aca="false">IF(AND($D34&lt;&gt;"",$D34=$E34,$D34&gt;=J$5,$D34&lt;=J$5+6),"◆","")</f>
        <v/>
      </c>
      <c r="K34" s="13" t="str">
        <f aca="false">IF(AND($D34&lt;&gt;"",$D34=$E34,$D34&gt;=K$5,$D34&lt;=K$5+6),"◆","")</f>
        <v/>
      </c>
      <c r="L34" s="13" t="str">
        <f aca="false">IF(AND($D34&lt;&gt;"",$D34=$E34,$D34&gt;=L$5,$D34&lt;=L$5+6),"◆","")</f>
        <v/>
      </c>
      <c r="M34" s="13" t="str">
        <f aca="false">IF(AND($D34&lt;&gt;"",$D34=$E34,$D34&gt;=M$5,$D34&lt;=M$5+6),"◆","")</f>
        <v/>
      </c>
      <c r="N34" s="13" t="str">
        <f aca="false">IF(AND($D34&lt;&gt;"",$D34=$E34,$D34&gt;=N$5,$D34&lt;=N$5+6),"◆","")</f>
        <v/>
      </c>
      <c r="O34" s="13" t="str">
        <f aca="false">IF(AND($D34&lt;&gt;"",$D34=$E34,$D34&gt;=O$5,$D34&lt;=O$5+6),"◆","")</f>
        <v/>
      </c>
      <c r="P34" s="13" t="str">
        <f aca="false">IF(AND($D34&lt;&gt;"",$D34=$E34,$D34&gt;=P$5,$D34&lt;=P$5+6),"◆","")</f>
        <v/>
      </c>
      <c r="Q34" s="13" t="str">
        <f aca="false">IF(AND($D34&lt;&gt;"",$D34=$E34,$D34&gt;=Q$5,$D34&lt;=Q$5+6),"◆","")</f>
        <v/>
      </c>
      <c r="R34" s="13" t="str">
        <f aca="false">IF(AND($D34&lt;&gt;"",$D34=$E34,$D34&gt;=R$5,$D34&lt;=R$5+6),"◆","")</f>
        <v/>
      </c>
      <c r="S34" s="13" t="str">
        <f aca="false">IF(AND($D34&lt;&gt;"",$D34=$E34,$D34&gt;=S$5,$D34&lt;=S$5+6),"◆","")</f>
        <v/>
      </c>
      <c r="T34" s="13" t="str">
        <f aca="false">IF(AND($D34&lt;&gt;"",$D34=$E34,$D34&gt;=T$5,$D34&lt;=T$5+6),"◆","")</f>
        <v/>
      </c>
      <c r="U34" s="13" t="str">
        <f aca="false">IF(AND($D34&lt;&gt;"",$D34=$E34,$D34&gt;=U$5,$D34&lt;=U$5+6),"◆","")</f>
        <v/>
      </c>
      <c r="V34" s="13" t="str">
        <f aca="false">IF(AND($D34&lt;&gt;"",$D34=$E34,$D34&gt;=V$5,$D34&lt;=V$5+6),"◆","")</f>
        <v/>
      </c>
      <c r="W34" s="13" t="str">
        <f aca="false">IF(AND($D34&lt;&gt;"",$D34=$E34,$D34&gt;=W$5,$D34&lt;=W$5+6),"◆","")</f>
        <v/>
      </c>
      <c r="X34" s="13" t="str">
        <f aca="false">IF(AND($D34&lt;&gt;"",$D34=$E34,$D34&gt;=X$5,$D34&lt;=EOMONTH(X$5,0)),"◆","")</f>
        <v/>
      </c>
      <c r="Y34" s="13" t="str">
        <f aca="false">IF(AND($D34&lt;&gt;"",$D34=$E34,$D34&gt;=Y$5,$D34&lt;=EOMONTH(Y$5,0)),"◆","")</f>
        <v/>
      </c>
      <c r="Z34" s="13" t="str">
        <f aca="false">IF(AND($D34&lt;&gt;"",$D34=$E34,$D34&gt;=Z$5,$D34&lt;=EOMONTH(Z$5,0)),"◆","")</f>
        <v/>
      </c>
      <c r="AA34" s="13" t="str">
        <f aca="false">IF(AND($D34&lt;&gt;"",$D34=$E34,$D34&gt;=AA$5,$D34&lt;=EOMONTH(AA$5,0)),"◆","")</f>
        <v>◆</v>
      </c>
      <c r="AB34" s="13" t="str">
        <f aca="false">IF(AND($D34&lt;&gt;"",$D34=$E34,$D34&gt;=AB$5,$D34&lt;=EOMONTH(AB$5,0)),"◆","")</f>
        <v/>
      </c>
    </row>
    <row r="35" customFormat="false" ht="15" hidden="false" customHeight="false" outlineLevel="0" collapsed="false">
      <c r="A35" s="10" t="n">
        <v>25</v>
      </c>
      <c r="B35" s="11" t="s">
        <v>61</v>
      </c>
      <c r="C35" s="10" t="s">
        <v>27</v>
      </c>
      <c r="D35" s="12" t="n">
        <v>46493</v>
      </c>
      <c r="E35" s="12" t="n">
        <v>46538</v>
      </c>
      <c r="F35" s="10" t="n">
        <f aca="false">E35-D35+1</f>
        <v>46</v>
      </c>
      <c r="G35" s="10" t="s">
        <v>62</v>
      </c>
      <c r="H35" s="10"/>
      <c r="I35" s="13" t="str">
        <f aca="false">IF(AND($D35&lt;&gt;"",$D35=$E35,$D35&gt;=I$5,$D35&lt;=I$5+6),"◆","")</f>
        <v/>
      </c>
      <c r="J35" s="13" t="str">
        <f aca="false">IF(AND($D35&lt;&gt;"",$D35=$E35,$D35&gt;=J$5,$D35&lt;=J$5+6),"◆","")</f>
        <v/>
      </c>
      <c r="K35" s="13" t="str">
        <f aca="false">IF(AND($D35&lt;&gt;"",$D35=$E35,$D35&gt;=K$5,$D35&lt;=K$5+6),"◆","")</f>
        <v/>
      </c>
      <c r="L35" s="13" t="str">
        <f aca="false">IF(AND($D35&lt;&gt;"",$D35=$E35,$D35&gt;=L$5,$D35&lt;=L$5+6),"◆","")</f>
        <v/>
      </c>
      <c r="M35" s="13" t="str">
        <f aca="false">IF(AND($D35&lt;&gt;"",$D35=$E35,$D35&gt;=M$5,$D35&lt;=M$5+6),"◆","")</f>
        <v/>
      </c>
      <c r="N35" s="13" t="str">
        <f aca="false">IF(AND($D35&lt;&gt;"",$D35=$E35,$D35&gt;=N$5,$D35&lt;=N$5+6),"◆","")</f>
        <v/>
      </c>
      <c r="O35" s="13" t="str">
        <f aca="false">IF(AND($D35&lt;&gt;"",$D35=$E35,$D35&gt;=O$5,$D35&lt;=O$5+6),"◆","")</f>
        <v/>
      </c>
      <c r="P35" s="13" t="str">
        <f aca="false">IF(AND($D35&lt;&gt;"",$D35=$E35,$D35&gt;=P$5,$D35&lt;=P$5+6),"◆","")</f>
        <v/>
      </c>
      <c r="Q35" s="13" t="str">
        <f aca="false">IF(AND($D35&lt;&gt;"",$D35=$E35,$D35&gt;=Q$5,$D35&lt;=Q$5+6),"◆","")</f>
        <v/>
      </c>
      <c r="R35" s="13" t="str">
        <f aca="false">IF(AND($D35&lt;&gt;"",$D35=$E35,$D35&gt;=R$5,$D35&lt;=R$5+6),"◆","")</f>
        <v/>
      </c>
      <c r="S35" s="13" t="str">
        <f aca="false">IF(AND($D35&lt;&gt;"",$D35=$E35,$D35&gt;=S$5,$D35&lt;=S$5+6),"◆","")</f>
        <v/>
      </c>
      <c r="T35" s="13" t="str">
        <f aca="false">IF(AND($D35&lt;&gt;"",$D35=$E35,$D35&gt;=T$5,$D35&lt;=T$5+6),"◆","")</f>
        <v/>
      </c>
      <c r="U35" s="13" t="str">
        <f aca="false">IF(AND($D35&lt;&gt;"",$D35=$E35,$D35&gt;=U$5,$D35&lt;=U$5+6),"◆","")</f>
        <v/>
      </c>
      <c r="V35" s="13" t="str">
        <f aca="false">IF(AND($D35&lt;&gt;"",$D35=$E35,$D35&gt;=V$5,$D35&lt;=V$5+6),"◆","")</f>
        <v/>
      </c>
      <c r="W35" s="13" t="str">
        <f aca="false">IF(AND($D35&lt;&gt;"",$D35=$E35,$D35&gt;=W$5,$D35&lt;=W$5+6),"◆","")</f>
        <v/>
      </c>
      <c r="X35" s="13" t="str">
        <f aca="false">IF(AND($D35&lt;&gt;"",$D35=$E35,$D35&gt;=X$5,$D35&lt;=EOMONTH(X$5,0)),"◆","")</f>
        <v/>
      </c>
      <c r="Y35" s="13" t="str">
        <f aca="false">IF(AND($D35&lt;&gt;"",$D35=$E35,$D35&gt;=Y$5,$D35&lt;=EOMONTH(Y$5,0)),"◆","")</f>
        <v/>
      </c>
      <c r="Z35" s="13" t="str">
        <f aca="false">IF(AND($D35&lt;&gt;"",$D35=$E35,$D35&gt;=Z$5,$D35&lt;=EOMONTH(Z$5,0)),"◆","")</f>
        <v/>
      </c>
      <c r="AA35" s="13" t="str">
        <f aca="false">IF(AND($D35&lt;&gt;"",$D35=$E35,$D35&gt;=AA$5,$D35&lt;=EOMONTH(AA$5,0)),"◆","")</f>
        <v/>
      </c>
      <c r="AB35" s="13" t="str">
        <f aca="false">IF(AND($D35&lt;&gt;"",$D35=$E35,$D35&gt;=AB$5,$D35&lt;=EOMONTH(AB$5,0)),"◆","")</f>
        <v/>
      </c>
    </row>
  </sheetData>
  <mergeCells count="7">
    <mergeCell ref="I4:W4"/>
    <mergeCell ref="X4:AB4"/>
    <mergeCell ref="A6:H6"/>
    <mergeCell ref="A11:H11"/>
    <mergeCell ref="A18:H18"/>
    <mergeCell ref="A26:H26"/>
    <mergeCell ref="A31:H31"/>
  </mergeCells>
  <conditionalFormatting sqref="I6:W35">
    <cfRule type="expression" priority="2" aboveAverage="0" equalAverage="0" bottom="0" percent="0" rank="0" text="" dxfId="0">
      <formula>AND($C6="Done",$D6&lt;&gt;$E6,$D6&lt;=I$5+6,$E6&gt;=I$5)</formula>
    </cfRule>
    <cfRule type="expression" priority="3" aboveAverage="0" equalAverage="0" bottom="0" percent="0" rank="0" text="" dxfId="1">
      <formula>AND($C6="In progress",$D6&lt;&gt;$E6,$D6&lt;=I$5+6,$E6&gt;=I$5)</formula>
    </cfRule>
    <cfRule type="expression" priority="4" aboveAverage="0" equalAverage="0" bottom="0" percent="0" rank="0" text="" dxfId="2">
      <formula>AND($C6="Planned",$D6&lt;&gt;$E6,$D6&lt;=I$5+6,$E6&gt;=I$5)</formula>
    </cfRule>
  </conditionalFormatting>
  <conditionalFormatting sqref="X6:AB35">
    <cfRule type="expression" priority="5" aboveAverage="0" equalAverage="0" bottom="0" percent="0" rank="0" text="" dxfId="0">
      <formula>AND($C6="Done",$D6&lt;&gt;$E6,$D6&lt;=EOMONTH(X$5,0),$E6&gt;=X$5)</formula>
    </cfRule>
    <cfRule type="expression" priority="6" aboveAverage="0" equalAverage="0" bottom="0" percent="0" rank="0" text="" dxfId="1">
      <formula>AND($C6="In progress",$D6&lt;&gt;$E6,$D6&lt;=EOMONTH(X$5,0),$E6&gt;=X$5)</formula>
    </cfRule>
    <cfRule type="expression" priority="7" aboveAverage="0" equalAverage="0" bottom="0" percent="0" rank="0" text="" dxfId="2">
      <formula>AND($C6="Planned",$D6&lt;&gt;$E6,$D6&lt;=EOMONTH(X$5,0),$E6&gt;=X$5)</formula>
    </cfRule>
  </conditionalFormatting>
  <conditionalFormatting sqref="I5:W5">
    <cfRule type="expression" priority="8" aboveAverage="0" equalAverage="0" bottom="0" percent="0" rank="0" text="" dxfId="1">
      <formula>AND(TODAY()&gt;=I5,TODAY()&lt;=I5+6)</formula>
    </cfRule>
  </conditionalFormatting>
  <dataValidations count="1">
    <dataValidation allowBlank="true" errorStyle="stop" operator="between" showDropDown="false" showErrorMessage="false" showInputMessage="false" sqref="C6:C35" type="list">
      <formula1>"Done,In progress,Planned"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7" t="s">
        <v>63</v>
      </c>
    </row>
    <row r="2" customFormat="false" ht="15" hidden="false" customHeight="false" outlineLevel="0" collapsed="false">
      <c r="A2" s="2" t="s">
        <v>64</v>
      </c>
    </row>
    <row r="3" customFormat="false" ht="15" hidden="false" customHeight="false" outlineLevel="0" collapsed="false">
      <c r="A3" s="2" t="s">
        <v>65</v>
      </c>
    </row>
    <row r="4" customFormat="false" ht="15" hidden="false" customHeight="false" outlineLevel="0" collapsed="false">
      <c r="A4" s="2" t="s">
        <v>66</v>
      </c>
    </row>
    <row r="5" customFormat="false" ht="15" hidden="false" customHeight="false" outlineLevel="0" collapsed="false">
      <c r="A5" s="2" t="s">
        <v>67</v>
      </c>
    </row>
    <row r="6" customFormat="false" ht="15" hidden="false" customHeight="false" outlineLevel="0" collapsed="false">
      <c r="A6" s="2" t="s">
        <v>68</v>
      </c>
    </row>
    <row r="7" customFormat="false" ht="15" hidden="false" customHeight="false" outlineLevel="0" collapsed="false">
      <c r="A7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2026-09-22T22:34:11Z</dcterms:created>
  <dc:creator>openpyxl</dc:creator>
  <dc:description/>
  <dc:language>en-US</dc:language>
  <cp:lastModifiedBy/>
  <dcterms:modified xsi:type="dcterms:W3CDTF">2026-09-22T22:34:11Z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